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ידים" sheetId="1" state="visible" r:id="rId1"/>
    <sheet xmlns:r="http://schemas.openxmlformats.org/officeDocument/2006/relationships" name="משפך" sheetId="2" state="visible" r:id="rId2"/>
    <sheet xmlns:r="http://schemas.openxmlformats.org/officeDocument/2006/relationships" name="הסבר" sheetId="3" state="visible" r:id="rId3"/>
    <sheet xmlns:r="http://schemas.openxmlformats.org/officeDocument/2006/relationships" name="רשימות" sheetId="4" state="visible" r:id="rId4"/>
  </sheets>
  <definedNames>
    <definedName name="_xlnm._FilterDatabase" localSheetId="0" hidden="1">'לידים'!$A$1:$U$501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2">
    <font>
      <name val="Calibri"/>
      <family val="2"/>
      <color theme="1"/>
      <sz val="11"/>
      <scheme val="minor"/>
    </font>
    <font>
      <name val="Rubik"/>
      <b val="1"/>
      <color rgb="00FFFFFF"/>
      <sz val="11"/>
    </font>
    <font>
      <name val="Rubik"/>
      <sz val="11"/>
    </font>
    <font>
      <name val="Rubik"/>
      <i val="1"/>
      <color rgb="006B6F9E"/>
    </font>
    <font>
      <name val="Secular One"/>
      <color rgb="004F46E5"/>
      <sz val="16"/>
    </font>
    <font>
      <name val="Rubik"/>
      <color rgb="006B6F9E"/>
    </font>
    <font>
      <name val="Rubik"/>
      <b val="1"/>
      <sz val="13"/>
    </font>
    <font>
      <b val="1"/>
    </font>
    <font>
      <color rgb="006B6F9E"/>
    </font>
    <font>
      <i val="1"/>
      <color rgb="006B6F9E"/>
    </font>
    <font>
      <name val="Rubik"/>
      <sz val="12"/>
    </font>
    <font>
      <name val="Rubik"/>
      <b val="1"/>
      <color rgb="00B91C1C"/>
      <sz val="11"/>
    </font>
  </fonts>
  <fills count="3">
    <fill>
      <patternFill/>
    </fill>
    <fill>
      <patternFill patternType="gray125"/>
    </fill>
    <fill>
      <patternFill patternType="solid">
        <fgColor rgb="001E1B4B"/>
      </patternFill>
    </fill>
  </fills>
  <borders count="2">
    <border>
      <left/>
      <right/>
      <top/>
      <bottom/>
      <diagonal/>
    </border>
    <border>
      <left style="thin">
        <color rgb="00D9DAF2"/>
      </left>
      <right style="thin">
        <color rgb="00D9DAF2"/>
      </right>
      <top style="thin">
        <color rgb="00D9DAF2"/>
      </top>
      <bottom style="thin">
        <color rgb="00D9DA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wrapText="1"/>
    </xf>
    <xf numFmtId="164" fontId="0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9" fontId="0" fillId="0" borderId="1" pivotButton="0" quotePrefix="0" xfId="0"/>
    <xf numFmtId="0" fontId="6" fillId="0" borderId="1" pivotButton="0" quotePrefix="0" xfId="0"/>
    <xf numFmtId="0" fontId="9" fillId="0" borderId="1" pivotButton="0" quotePrefix="0" xfId="0"/>
    <xf numFmtId="165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EF4444"/>
        </patternFill>
      </fill>
    </dxf>
    <dxf>
      <font>
        <b val="1"/>
      </font>
      <fill>
        <patternFill patternType="solid">
          <fgColor rgb="00FBBF24"/>
        </patternFill>
      </fill>
    </dxf>
    <dxf>
      <fill>
        <patternFill patternType="solid">
          <fgColor rgb="00FEE2E2"/>
        </patternFill>
      </fill>
    </dxf>
    <dxf>
      <font>
        <color rgb="009CA3A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Boost2Business</author>
  </authors>
  <commentList>
    <comment ref="A1" authorId="0" shapeId="0">
      <text>
        <t>שם השדה: lead_id</t>
      </text>
    </comment>
    <comment ref="B1" authorId="0" shapeId="0">
      <text>
        <t>שם השדה: created_at</t>
      </text>
    </comment>
    <comment ref="C1" authorId="0" shapeId="0">
      <text>
        <t>שם השדה: name</t>
      </text>
    </comment>
    <comment ref="D1" authorId="0" shapeId="0">
      <text>
        <t>שם השדה: phone</t>
      </text>
    </comment>
    <comment ref="E1" authorId="0" shapeId="0">
      <text>
        <t>שם השדה: source</t>
      </text>
    </comment>
    <comment ref="F1" authorId="0" shapeId="0">
      <text>
        <t>שם השדה: track</t>
      </text>
    </comment>
    <comment ref="G1" authorId="0" shapeId="0">
      <text>
        <t>שם השדה: first_message</t>
      </text>
    </comment>
    <comment ref="H1" authorId="0" shapeId="0">
      <text>
        <t>שם השדה: stage</t>
      </text>
    </comment>
    <comment ref="I1" authorId="0" shapeId="0">
      <text>
        <t>שם השדה: next_action</t>
      </text>
    </comment>
    <comment ref="J1" authorId="0" shapeId="0">
      <text>
        <t>שם השדה: next_action_date</t>
      </text>
    </comment>
    <comment ref="K1" authorId="0" shapeId="0">
      <text>
        <t>שם השדה: call_date</t>
      </text>
    </comment>
    <comment ref="L1" authorId="0" shapeId="0">
      <text>
        <t>שם השדה: call_summary_link</t>
      </text>
    </comment>
    <comment ref="M1" authorId="0" shapeId="0">
      <text>
        <t>שם השדה: quote_id</t>
      </text>
    </comment>
    <comment ref="N1" authorId="0" shapeId="0">
      <text>
        <t>שם השדה: quote_amount</t>
      </text>
    </comment>
    <comment ref="O1" authorId="0" shapeId="0">
      <text>
        <t>שם השדה: quote_status</t>
      </text>
    </comment>
    <comment ref="P1" authorId="0" shapeId="0">
      <text>
        <t>שם השדה: paid_status</t>
      </text>
    </comment>
    <comment ref="Q1" authorId="0" shapeId="0">
      <text>
        <t>שם השדה: project_status</t>
      </text>
    </comment>
    <comment ref="R1" authorId="0" shapeId="0">
      <text>
        <t>שם השדה: hours_spent</t>
      </text>
    </comment>
    <comment ref="S1" authorId="0" shapeId="0">
      <text>
        <t>שם השדה: lost_reason</t>
      </text>
    </comment>
    <comment ref="T1" authorId="0" shapeId="0">
      <text>
        <t>שם השדה: consent_to_contact</t>
      </text>
    </comment>
    <comment ref="U1" authorId="0" shapeId="0">
      <text>
        <t>שם השדה: notes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67E8F9"/>
    <outlinePr summaryBelow="1" summaryRight="1"/>
    <pageSetUpPr/>
  </sheetPr>
  <dimension ref="A1:V501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13" customWidth="1" min="4" max="4"/>
    <col width="15" customWidth="1" min="5" max="5"/>
    <col width="10" customWidth="1" min="6" max="6"/>
    <col width="30" customWidth="1" min="7" max="7"/>
    <col width="16" customWidth="1" min="8" max="8"/>
    <col width="22" customWidth="1" min="9" max="9"/>
    <col width="11" customWidth="1" min="10" max="10"/>
    <col width="11" customWidth="1" min="11" max="11"/>
    <col width="16" customWidth="1" min="12" max="12"/>
    <col width="11" customWidth="1" min="13" max="13"/>
    <col width="11" customWidth="1" min="14" max="14"/>
    <col width="12" customWidth="1" min="15" max="15"/>
    <col width="11" customWidth="1" min="16" max="16"/>
    <col width="12" customWidth="1" min="17" max="17"/>
    <col width="9" customWidth="1" min="18" max="18"/>
    <col width="16" customWidth="1" min="19" max="19"/>
    <col width="10" customWidth="1" min="20" max="20"/>
    <col width="28" customWidth="1" min="21" max="21"/>
    <col hidden="1" width="13" customWidth="1" min="22" max="22"/>
  </cols>
  <sheetData>
    <row r="1" ht="34" customHeight="1">
      <c r="A1" s="1" t="inlineStr">
        <is>
          <t>מס׳ ליד</t>
        </is>
      </c>
      <c r="B1" s="1" t="inlineStr">
        <is>
          <t>תאריך פנייה</t>
        </is>
      </c>
      <c r="C1" s="1" t="inlineStr">
        <is>
          <t>שם</t>
        </is>
      </c>
      <c r="D1" s="1" t="inlineStr">
        <is>
          <t>טלפון</t>
        </is>
      </c>
      <c r="E1" s="1" t="inlineStr">
        <is>
          <t>מקור</t>
        </is>
      </c>
      <c r="F1" s="1" t="inlineStr">
        <is>
          <t>מסלול</t>
        </is>
      </c>
      <c r="G1" s="1" t="inlineStr">
        <is>
          <t>ההודעה הראשונה (בקצרה)</t>
        </is>
      </c>
      <c r="H1" s="1" t="inlineStr">
        <is>
          <t>שלב</t>
        </is>
      </c>
      <c r="I1" s="1" t="inlineStr">
        <is>
          <t>הצעד הבא</t>
        </is>
      </c>
      <c r="J1" s="1" t="inlineStr">
        <is>
          <t>עד מתי</t>
        </is>
      </c>
      <c r="K1" s="1" t="inlineStr">
        <is>
          <t>תאריך שיחה</t>
        </is>
      </c>
      <c r="L1" s="1" t="inlineStr">
        <is>
          <t>קישור לסיכום שיחה</t>
        </is>
      </c>
      <c r="M1" s="1" t="inlineStr">
        <is>
          <t>מס׳ הצעה</t>
        </is>
      </c>
      <c r="N1" s="1" t="inlineStr">
        <is>
          <t>סכום הצעה ₪</t>
        </is>
      </c>
      <c r="O1" s="1" t="inlineStr">
        <is>
          <t>סטטוס הצעה</t>
        </is>
      </c>
      <c r="P1" s="1" t="inlineStr">
        <is>
          <t>תשלום</t>
        </is>
      </c>
      <c r="Q1" s="1" t="inlineStr">
        <is>
          <t>סטטוס פרויקט</t>
        </is>
      </c>
      <c r="R1" s="1" t="inlineStr">
        <is>
          <t>השעות שלי</t>
        </is>
      </c>
      <c r="S1" s="1" t="inlineStr">
        <is>
          <t>למה לא המשיך</t>
        </is>
      </c>
      <c r="T1" s="1" t="inlineStr">
        <is>
          <t>הסכים שאחזור אליו</t>
        </is>
      </c>
      <c r="U1" s="1" t="inlineStr">
        <is>
          <t>הערות</t>
        </is>
      </c>
      <c r="V1" t="inlineStr">
        <is>
          <t>stage_rank</t>
        </is>
      </c>
    </row>
    <row r="2">
      <c r="A2">
        <f>IF(C2="","","L-"&amp;TEXT(ROW()-1,"0000"))</f>
        <v/>
      </c>
      <c r="B2" s="2" t="n"/>
      <c r="D2" s="3" t="n"/>
      <c r="J2" s="2" t="n"/>
      <c r="K2" s="2" t="n"/>
      <c r="N2" s="4" t="n"/>
      <c r="V2">
        <f>IF(H2="",0,IFERROR(MATCH(H2,'רשימות'!$A$2:$A$13,0),0))</f>
        <v/>
      </c>
    </row>
    <row r="3">
      <c r="A3">
        <f>IF(C3="","","L-"&amp;TEXT(ROW()-1,"0000"))</f>
        <v/>
      </c>
      <c r="B3" s="2" t="n"/>
      <c r="D3" s="3" t="n"/>
      <c r="J3" s="2" t="n"/>
      <c r="K3" s="2" t="n"/>
      <c r="N3" s="4" t="n"/>
      <c r="V3">
        <f>IF(H3="",0,IFERROR(MATCH(H3,'רשימות'!$A$2:$A$13,0),0))</f>
        <v/>
      </c>
    </row>
    <row r="4">
      <c r="A4">
        <f>IF(C4="","","L-"&amp;TEXT(ROW()-1,"0000"))</f>
        <v/>
      </c>
      <c r="B4" s="2" t="n"/>
      <c r="D4" s="3" t="n"/>
      <c r="J4" s="2" t="n"/>
      <c r="K4" s="2" t="n"/>
      <c r="N4" s="4" t="n"/>
      <c r="V4">
        <f>IF(H4="",0,IFERROR(MATCH(H4,'רשימות'!$A$2:$A$13,0),0))</f>
        <v/>
      </c>
    </row>
    <row r="5">
      <c r="A5">
        <f>IF(C5="","","L-"&amp;TEXT(ROW()-1,"0000"))</f>
        <v/>
      </c>
      <c r="B5" s="2" t="n"/>
      <c r="D5" s="3" t="n"/>
      <c r="J5" s="2" t="n"/>
      <c r="K5" s="2" t="n"/>
      <c r="N5" s="4" t="n"/>
      <c r="V5">
        <f>IF(H5="",0,IFERROR(MATCH(H5,'רשימות'!$A$2:$A$13,0),0))</f>
        <v/>
      </c>
    </row>
    <row r="6">
      <c r="A6">
        <f>IF(C6="","","L-"&amp;TEXT(ROW()-1,"0000"))</f>
        <v/>
      </c>
      <c r="B6" s="2" t="n"/>
      <c r="D6" s="3" t="n"/>
      <c r="J6" s="2" t="n"/>
      <c r="K6" s="2" t="n"/>
      <c r="N6" s="4" t="n"/>
      <c r="V6">
        <f>IF(H6="",0,IFERROR(MATCH(H6,'רשימות'!$A$2:$A$13,0),0))</f>
        <v/>
      </c>
    </row>
    <row r="7">
      <c r="A7">
        <f>IF(C7="","","L-"&amp;TEXT(ROW()-1,"0000"))</f>
        <v/>
      </c>
      <c r="B7" s="2" t="n"/>
      <c r="D7" s="3" t="n"/>
      <c r="J7" s="2" t="n"/>
      <c r="K7" s="2" t="n"/>
      <c r="N7" s="4" t="n"/>
      <c r="V7">
        <f>IF(H7="",0,IFERROR(MATCH(H7,'רשימות'!$A$2:$A$13,0),0))</f>
        <v/>
      </c>
    </row>
    <row r="8">
      <c r="A8">
        <f>IF(C8="","","L-"&amp;TEXT(ROW()-1,"0000"))</f>
        <v/>
      </c>
      <c r="B8" s="2" t="n"/>
      <c r="D8" s="3" t="n"/>
      <c r="J8" s="2" t="n"/>
      <c r="K8" s="2" t="n"/>
      <c r="N8" s="4" t="n"/>
      <c r="V8">
        <f>IF(H8="",0,IFERROR(MATCH(H8,'רשימות'!$A$2:$A$13,0),0))</f>
        <v/>
      </c>
    </row>
    <row r="9">
      <c r="A9">
        <f>IF(C9="","","L-"&amp;TEXT(ROW()-1,"0000"))</f>
        <v/>
      </c>
      <c r="B9" s="2" t="n"/>
      <c r="D9" s="3" t="n"/>
      <c r="J9" s="2" t="n"/>
      <c r="K9" s="2" t="n"/>
      <c r="N9" s="4" t="n"/>
      <c r="V9">
        <f>IF(H9="",0,IFERROR(MATCH(H9,'רשימות'!$A$2:$A$13,0),0))</f>
        <v/>
      </c>
    </row>
    <row r="10">
      <c r="A10">
        <f>IF(C10="","","L-"&amp;TEXT(ROW()-1,"0000"))</f>
        <v/>
      </c>
      <c r="B10" s="2" t="n"/>
      <c r="D10" s="3" t="n"/>
      <c r="J10" s="2" t="n"/>
      <c r="K10" s="2" t="n"/>
      <c r="N10" s="4" t="n"/>
      <c r="V10">
        <f>IF(H10="",0,IFERROR(MATCH(H10,'רשימות'!$A$2:$A$13,0),0))</f>
        <v/>
      </c>
    </row>
    <row r="11">
      <c r="A11">
        <f>IF(C11="","","L-"&amp;TEXT(ROW()-1,"0000"))</f>
        <v/>
      </c>
      <c r="B11" s="2" t="n"/>
      <c r="D11" s="3" t="n"/>
      <c r="J11" s="2" t="n"/>
      <c r="K11" s="2" t="n"/>
      <c r="N11" s="4" t="n"/>
      <c r="V11">
        <f>IF(H11="",0,IFERROR(MATCH(H11,'רשימות'!$A$2:$A$13,0),0))</f>
        <v/>
      </c>
    </row>
    <row r="12">
      <c r="A12">
        <f>IF(C12="","","L-"&amp;TEXT(ROW()-1,"0000"))</f>
        <v/>
      </c>
      <c r="B12" s="2" t="n"/>
      <c r="D12" s="3" t="n"/>
      <c r="J12" s="2" t="n"/>
      <c r="K12" s="2" t="n"/>
      <c r="N12" s="4" t="n"/>
      <c r="V12">
        <f>IF(H12="",0,IFERROR(MATCH(H12,'רשימות'!$A$2:$A$13,0),0))</f>
        <v/>
      </c>
    </row>
    <row r="13">
      <c r="A13">
        <f>IF(C13="","","L-"&amp;TEXT(ROW()-1,"0000"))</f>
        <v/>
      </c>
      <c r="B13" s="2" t="n"/>
      <c r="D13" s="3" t="n"/>
      <c r="J13" s="2" t="n"/>
      <c r="K13" s="2" t="n"/>
      <c r="N13" s="4" t="n"/>
      <c r="V13">
        <f>IF(H13="",0,IFERROR(MATCH(H13,'רשימות'!$A$2:$A$13,0),0))</f>
        <v/>
      </c>
    </row>
    <row r="14">
      <c r="A14">
        <f>IF(C14="","","L-"&amp;TEXT(ROW()-1,"0000"))</f>
        <v/>
      </c>
      <c r="B14" s="2" t="n"/>
      <c r="D14" s="3" t="n"/>
      <c r="J14" s="2" t="n"/>
      <c r="K14" s="2" t="n"/>
      <c r="N14" s="4" t="n"/>
      <c r="V14">
        <f>IF(H14="",0,IFERROR(MATCH(H14,'רשימות'!$A$2:$A$13,0),0))</f>
        <v/>
      </c>
    </row>
    <row r="15">
      <c r="A15">
        <f>IF(C15="","","L-"&amp;TEXT(ROW()-1,"0000"))</f>
        <v/>
      </c>
      <c r="B15" s="2" t="n"/>
      <c r="D15" s="3" t="n"/>
      <c r="J15" s="2" t="n"/>
      <c r="K15" s="2" t="n"/>
      <c r="N15" s="4" t="n"/>
      <c r="V15">
        <f>IF(H15="",0,IFERROR(MATCH(H15,'רשימות'!$A$2:$A$13,0),0))</f>
        <v/>
      </c>
    </row>
    <row r="16">
      <c r="A16">
        <f>IF(C16="","","L-"&amp;TEXT(ROW()-1,"0000"))</f>
        <v/>
      </c>
      <c r="B16" s="2" t="n"/>
      <c r="D16" s="3" t="n"/>
      <c r="J16" s="2" t="n"/>
      <c r="K16" s="2" t="n"/>
      <c r="N16" s="4" t="n"/>
      <c r="V16">
        <f>IF(H16="",0,IFERROR(MATCH(H16,'רשימות'!$A$2:$A$13,0),0))</f>
        <v/>
      </c>
    </row>
    <row r="17">
      <c r="A17">
        <f>IF(C17="","","L-"&amp;TEXT(ROW()-1,"0000"))</f>
        <v/>
      </c>
      <c r="B17" s="2" t="n"/>
      <c r="D17" s="3" t="n"/>
      <c r="J17" s="2" t="n"/>
      <c r="K17" s="2" t="n"/>
      <c r="N17" s="4" t="n"/>
      <c r="V17">
        <f>IF(H17="",0,IFERROR(MATCH(H17,'רשימות'!$A$2:$A$13,0),0))</f>
        <v/>
      </c>
    </row>
    <row r="18">
      <c r="A18">
        <f>IF(C18="","","L-"&amp;TEXT(ROW()-1,"0000"))</f>
        <v/>
      </c>
      <c r="B18" s="2" t="n"/>
      <c r="D18" s="3" t="n"/>
      <c r="J18" s="2" t="n"/>
      <c r="K18" s="2" t="n"/>
      <c r="N18" s="4" t="n"/>
      <c r="V18">
        <f>IF(H18="",0,IFERROR(MATCH(H18,'רשימות'!$A$2:$A$13,0),0))</f>
        <v/>
      </c>
    </row>
    <row r="19">
      <c r="A19">
        <f>IF(C19="","","L-"&amp;TEXT(ROW()-1,"0000"))</f>
        <v/>
      </c>
      <c r="B19" s="2" t="n"/>
      <c r="D19" s="3" t="n"/>
      <c r="J19" s="2" t="n"/>
      <c r="K19" s="2" t="n"/>
      <c r="N19" s="4" t="n"/>
      <c r="V19">
        <f>IF(H19="",0,IFERROR(MATCH(H19,'רשימות'!$A$2:$A$13,0),0))</f>
        <v/>
      </c>
    </row>
    <row r="20">
      <c r="A20">
        <f>IF(C20="","","L-"&amp;TEXT(ROW()-1,"0000"))</f>
        <v/>
      </c>
      <c r="B20" s="2" t="n"/>
      <c r="D20" s="3" t="n"/>
      <c r="J20" s="2" t="n"/>
      <c r="K20" s="2" t="n"/>
      <c r="N20" s="4" t="n"/>
      <c r="V20">
        <f>IF(H20="",0,IFERROR(MATCH(H20,'רשימות'!$A$2:$A$13,0),0))</f>
        <v/>
      </c>
    </row>
    <row r="21">
      <c r="A21">
        <f>IF(C21="","","L-"&amp;TEXT(ROW()-1,"0000"))</f>
        <v/>
      </c>
      <c r="B21" s="2" t="n"/>
      <c r="D21" s="3" t="n"/>
      <c r="J21" s="2" t="n"/>
      <c r="K21" s="2" t="n"/>
      <c r="N21" s="4" t="n"/>
      <c r="V21">
        <f>IF(H21="",0,IFERROR(MATCH(H21,'רשימות'!$A$2:$A$13,0),0))</f>
        <v/>
      </c>
    </row>
    <row r="22">
      <c r="A22">
        <f>IF(C22="","","L-"&amp;TEXT(ROW()-1,"0000"))</f>
        <v/>
      </c>
      <c r="B22" s="2" t="n"/>
      <c r="D22" s="3" t="n"/>
      <c r="J22" s="2" t="n"/>
      <c r="K22" s="2" t="n"/>
      <c r="N22" s="4" t="n"/>
      <c r="V22">
        <f>IF(H22="",0,IFERROR(MATCH(H22,'רשימות'!$A$2:$A$13,0),0))</f>
        <v/>
      </c>
    </row>
    <row r="23">
      <c r="A23">
        <f>IF(C23="","","L-"&amp;TEXT(ROW()-1,"0000"))</f>
        <v/>
      </c>
      <c r="B23" s="2" t="n"/>
      <c r="D23" s="3" t="n"/>
      <c r="J23" s="2" t="n"/>
      <c r="K23" s="2" t="n"/>
      <c r="N23" s="4" t="n"/>
      <c r="V23">
        <f>IF(H23="",0,IFERROR(MATCH(H23,'רשימות'!$A$2:$A$13,0),0))</f>
        <v/>
      </c>
    </row>
    <row r="24">
      <c r="A24">
        <f>IF(C24="","","L-"&amp;TEXT(ROW()-1,"0000"))</f>
        <v/>
      </c>
      <c r="B24" s="2" t="n"/>
      <c r="D24" s="3" t="n"/>
      <c r="J24" s="2" t="n"/>
      <c r="K24" s="2" t="n"/>
      <c r="N24" s="4" t="n"/>
      <c r="V24">
        <f>IF(H24="",0,IFERROR(MATCH(H24,'רשימות'!$A$2:$A$13,0),0))</f>
        <v/>
      </c>
    </row>
    <row r="25">
      <c r="A25">
        <f>IF(C25="","","L-"&amp;TEXT(ROW()-1,"0000"))</f>
        <v/>
      </c>
      <c r="B25" s="2" t="n"/>
      <c r="D25" s="3" t="n"/>
      <c r="J25" s="2" t="n"/>
      <c r="K25" s="2" t="n"/>
      <c r="N25" s="4" t="n"/>
      <c r="V25">
        <f>IF(H25="",0,IFERROR(MATCH(H25,'רשימות'!$A$2:$A$13,0),0))</f>
        <v/>
      </c>
    </row>
    <row r="26">
      <c r="A26">
        <f>IF(C26="","","L-"&amp;TEXT(ROW()-1,"0000"))</f>
        <v/>
      </c>
      <c r="B26" s="2" t="n"/>
      <c r="D26" s="3" t="n"/>
      <c r="J26" s="2" t="n"/>
      <c r="K26" s="2" t="n"/>
      <c r="N26" s="4" t="n"/>
      <c r="V26">
        <f>IF(H26="",0,IFERROR(MATCH(H26,'רשימות'!$A$2:$A$13,0),0))</f>
        <v/>
      </c>
    </row>
    <row r="27">
      <c r="A27">
        <f>IF(C27="","","L-"&amp;TEXT(ROW()-1,"0000"))</f>
        <v/>
      </c>
      <c r="B27" s="2" t="n"/>
      <c r="D27" s="3" t="n"/>
      <c r="J27" s="2" t="n"/>
      <c r="K27" s="2" t="n"/>
      <c r="N27" s="4" t="n"/>
      <c r="V27">
        <f>IF(H27="",0,IFERROR(MATCH(H27,'רשימות'!$A$2:$A$13,0),0))</f>
        <v/>
      </c>
    </row>
    <row r="28">
      <c r="A28">
        <f>IF(C28="","","L-"&amp;TEXT(ROW()-1,"0000"))</f>
        <v/>
      </c>
      <c r="B28" s="2" t="n"/>
      <c r="D28" s="3" t="n"/>
      <c r="J28" s="2" t="n"/>
      <c r="K28" s="2" t="n"/>
      <c r="N28" s="4" t="n"/>
      <c r="V28">
        <f>IF(H28="",0,IFERROR(MATCH(H28,'רשימות'!$A$2:$A$13,0),0))</f>
        <v/>
      </c>
    </row>
    <row r="29">
      <c r="A29">
        <f>IF(C29="","","L-"&amp;TEXT(ROW()-1,"0000"))</f>
        <v/>
      </c>
      <c r="B29" s="2" t="n"/>
      <c r="D29" s="3" t="n"/>
      <c r="J29" s="2" t="n"/>
      <c r="K29" s="2" t="n"/>
      <c r="N29" s="4" t="n"/>
      <c r="V29">
        <f>IF(H29="",0,IFERROR(MATCH(H29,'רשימות'!$A$2:$A$13,0),0))</f>
        <v/>
      </c>
    </row>
    <row r="30">
      <c r="A30">
        <f>IF(C30="","","L-"&amp;TEXT(ROW()-1,"0000"))</f>
        <v/>
      </c>
      <c r="B30" s="2" t="n"/>
      <c r="D30" s="3" t="n"/>
      <c r="J30" s="2" t="n"/>
      <c r="K30" s="2" t="n"/>
      <c r="N30" s="4" t="n"/>
      <c r="V30">
        <f>IF(H30="",0,IFERROR(MATCH(H30,'רשימות'!$A$2:$A$13,0),0))</f>
        <v/>
      </c>
    </row>
    <row r="31">
      <c r="A31">
        <f>IF(C31="","","L-"&amp;TEXT(ROW()-1,"0000"))</f>
        <v/>
      </c>
      <c r="B31" s="2" t="n"/>
      <c r="D31" s="3" t="n"/>
      <c r="J31" s="2" t="n"/>
      <c r="K31" s="2" t="n"/>
      <c r="N31" s="4" t="n"/>
      <c r="V31">
        <f>IF(H31="",0,IFERROR(MATCH(H31,'רשימות'!$A$2:$A$13,0),0))</f>
        <v/>
      </c>
    </row>
    <row r="32">
      <c r="A32">
        <f>IF(C32="","","L-"&amp;TEXT(ROW()-1,"0000"))</f>
        <v/>
      </c>
      <c r="B32" s="2" t="n"/>
      <c r="D32" s="3" t="n"/>
      <c r="J32" s="2" t="n"/>
      <c r="K32" s="2" t="n"/>
      <c r="N32" s="4" t="n"/>
      <c r="V32">
        <f>IF(H32="",0,IFERROR(MATCH(H32,'רשימות'!$A$2:$A$13,0),0))</f>
        <v/>
      </c>
    </row>
    <row r="33">
      <c r="A33">
        <f>IF(C33="","","L-"&amp;TEXT(ROW()-1,"0000"))</f>
        <v/>
      </c>
      <c r="B33" s="2" t="n"/>
      <c r="D33" s="3" t="n"/>
      <c r="J33" s="2" t="n"/>
      <c r="K33" s="2" t="n"/>
      <c r="N33" s="4" t="n"/>
      <c r="V33">
        <f>IF(H33="",0,IFERROR(MATCH(H33,'רשימות'!$A$2:$A$13,0),0))</f>
        <v/>
      </c>
    </row>
    <row r="34">
      <c r="A34">
        <f>IF(C34="","","L-"&amp;TEXT(ROW()-1,"0000"))</f>
        <v/>
      </c>
      <c r="B34" s="2" t="n"/>
      <c r="D34" s="3" t="n"/>
      <c r="J34" s="2" t="n"/>
      <c r="K34" s="2" t="n"/>
      <c r="N34" s="4" t="n"/>
      <c r="V34">
        <f>IF(H34="",0,IFERROR(MATCH(H34,'רשימות'!$A$2:$A$13,0),0))</f>
        <v/>
      </c>
    </row>
    <row r="35">
      <c r="A35">
        <f>IF(C35="","","L-"&amp;TEXT(ROW()-1,"0000"))</f>
        <v/>
      </c>
      <c r="B35" s="2" t="n"/>
      <c r="D35" s="3" t="n"/>
      <c r="J35" s="2" t="n"/>
      <c r="K35" s="2" t="n"/>
      <c r="N35" s="4" t="n"/>
      <c r="V35">
        <f>IF(H35="",0,IFERROR(MATCH(H35,'רשימות'!$A$2:$A$13,0),0))</f>
        <v/>
      </c>
    </row>
    <row r="36">
      <c r="A36">
        <f>IF(C36="","","L-"&amp;TEXT(ROW()-1,"0000"))</f>
        <v/>
      </c>
      <c r="B36" s="2" t="n"/>
      <c r="D36" s="3" t="n"/>
      <c r="J36" s="2" t="n"/>
      <c r="K36" s="2" t="n"/>
      <c r="N36" s="4" t="n"/>
      <c r="V36">
        <f>IF(H36="",0,IFERROR(MATCH(H36,'רשימות'!$A$2:$A$13,0),0))</f>
        <v/>
      </c>
    </row>
    <row r="37">
      <c r="A37">
        <f>IF(C37="","","L-"&amp;TEXT(ROW()-1,"0000"))</f>
        <v/>
      </c>
      <c r="B37" s="2" t="n"/>
      <c r="D37" s="3" t="n"/>
      <c r="J37" s="2" t="n"/>
      <c r="K37" s="2" t="n"/>
      <c r="N37" s="4" t="n"/>
      <c r="V37">
        <f>IF(H37="",0,IFERROR(MATCH(H37,'רשימות'!$A$2:$A$13,0),0))</f>
        <v/>
      </c>
    </row>
    <row r="38">
      <c r="A38">
        <f>IF(C38="","","L-"&amp;TEXT(ROW()-1,"0000"))</f>
        <v/>
      </c>
      <c r="B38" s="2" t="n"/>
      <c r="D38" s="3" t="n"/>
      <c r="J38" s="2" t="n"/>
      <c r="K38" s="2" t="n"/>
      <c r="N38" s="4" t="n"/>
      <c r="V38">
        <f>IF(H38="",0,IFERROR(MATCH(H38,'רשימות'!$A$2:$A$13,0),0))</f>
        <v/>
      </c>
    </row>
    <row r="39">
      <c r="A39">
        <f>IF(C39="","","L-"&amp;TEXT(ROW()-1,"0000"))</f>
        <v/>
      </c>
      <c r="B39" s="2" t="n"/>
      <c r="D39" s="3" t="n"/>
      <c r="J39" s="2" t="n"/>
      <c r="K39" s="2" t="n"/>
      <c r="N39" s="4" t="n"/>
      <c r="V39">
        <f>IF(H39="",0,IFERROR(MATCH(H39,'רשימות'!$A$2:$A$13,0),0))</f>
        <v/>
      </c>
    </row>
    <row r="40">
      <c r="A40">
        <f>IF(C40="","","L-"&amp;TEXT(ROW()-1,"0000"))</f>
        <v/>
      </c>
      <c r="B40" s="2" t="n"/>
      <c r="D40" s="3" t="n"/>
      <c r="J40" s="2" t="n"/>
      <c r="K40" s="2" t="n"/>
      <c r="N40" s="4" t="n"/>
      <c r="V40">
        <f>IF(H40="",0,IFERROR(MATCH(H40,'רשימות'!$A$2:$A$13,0),0))</f>
        <v/>
      </c>
    </row>
    <row r="41">
      <c r="A41">
        <f>IF(C41="","","L-"&amp;TEXT(ROW()-1,"0000"))</f>
        <v/>
      </c>
      <c r="B41" s="2" t="n"/>
      <c r="D41" s="3" t="n"/>
      <c r="J41" s="2" t="n"/>
      <c r="K41" s="2" t="n"/>
      <c r="N41" s="4" t="n"/>
      <c r="V41">
        <f>IF(H41="",0,IFERROR(MATCH(H41,'רשימות'!$A$2:$A$13,0),0))</f>
        <v/>
      </c>
    </row>
    <row r="42">
      <c r="A42">
        <f>IF(C42="","","L-"&amp;TEXT(ROW()-1,"0000"))</f>
        <v/>
      </c>
      <c r="B42" s="2" t="n"/>
      <c r="D42" s="3" t="n"/>
      <c r="J42" s="2" t="n"/>
      <c r="K42" s="2" t="n"/>
      <c r="N42" s="4" t="n"/>
      <c r="V42">
        <f>IF(H42="",0,IFERROR(MATCH(H42,'רשימות'!$A$2:$A$13,0),0))</f>
        <v/>
      </c>
    </row>
    <row r="43">
      <c r="A43">
        <f>IF(C43="","","L-"&amp;TEXT(ROW()-1,"0000"))</f>
        <v/>
      </c>
      <c r="B43" s="2" t="n"/>
      <c r="D43" s="3" t="n"/>
      <c r="J43" s="2" t="n"/>
      <c r="K43" s="2" t="n"/>
      <c r="N43" s="4" t="n"/>
      <c r="V43">
        <f>IF(H43="",0,IFERROR(MATCH(H43,'רשימות'!$A$2:$A$13,0),0))</f>
        <v/>
      </c>
    </row>
    <row r="44">
      <c r="A44">
        <f>IF(C44="","","L-"&amp;TEXT(ROW()-1,"0000"))</f>
        <v/>
      </c>
      <c r="B44" s="2" t="n"/>
      <c r="D44" s="3" t="n"/>
      <c r="J44" s="2" t="n"/>
      <c r="K44" s="2" t="n"/>
      <c r="N44" s="4" t="n"/>
      <c r="V44">
        <f>IF(H44="",0,IFERROR(MATCH(H44,'רשימות'!$A$2:$A$13,0),0))</f>
        <v/>
      </c>
    </row>
    <row r="45">
      <c r="A45">
        <f>IF(C45="","","L-"&amp;TEXT(ROW()-1,"0000"))</f>
        <v/>
      </c>
      <c r="B45" s="2" t="n"/>
      <c r="D45" s="3" t="n"/>
      <c r="J45" s="2" t="n"/>
      <c r="K45" s="2" t="n"/>
      <c r="N45" s="4" t="n"/>
      <c r="V45">
        <f>IF(H45="",0,IFERROR(MATCH(H45,'רשימות'!$A$2:$A$13,0),0))</f>
        <v/>
      </c>
    </row>
    <row r="46">
      <c r="A46">
        <f>IF(C46="","","L-"&amp;TEXT(ROW()-1,"0000"))</f>
        <v/>
      </c>
      <c r="B46" s="2" t="n"/>
      <c r="D46" s="3" t="n"/>
      <c r="J46" s="2" t="n"/>
      <c r="K46" s="2" t="n"/>
      <c r="N46" s="4" t="n"/>
      <c r="V46">
        <f>IF(H46="",0,IFERROR(MATCH(H46,'רשימות'!$A$2:$A$13,0),0))</f>
        <v/>
      </c>
    </row>
    <row r="47">
      <c r="A47">
        <f>IF(C47="","","L-"&amp;TEXT(ROW()-1,"0000"))</f>
        <v/>
      </c>
      <c r="B47" s="2" t="n"/>
      <c r="D47" s="3" t="n"/>
      <c r="J47" s="2" t="n"/>
      <c r="K47" s="2" t="n"/>
      <c r="N47" s="4" t="n"/>
      <c r="V47">
        <f>IF(H47="",0,IFERROR(MATCH(H47,'רשימות'!$A$2:$A$13,0),0))</f>
        <v/>
      </c>
    </row>
    <row r="48">
      <c r="A48">
        <f>IF(C48="","","L-"&amp;TEXT(ROW()-1,"0000"))</f>
        <v/>
      </c>
      <c r="B48" s="2" t="n"/>
      <c r="D48" s="3" t="n"/>
      <c r="J48" s="2" t="n"/>
      <c r="K48" s="2" t="n"/>
      <c r="N48" s="4" t="n"/>
      <c r="V48">
        <f>IF(H48="",0,IFERROR(MATCH(H48,'רשימות'!$A$2:$A$13,0),0))</f>
        <v/>
      </c>
    </row>
    <row r="49">
      <c r="A49">
        <f>IF(C49="","","L-"&amp;TEXT(ROW()-1,"0000"))</f>
        <v/>
      </c>
      <c r="B49" s="2" t="n"/>
      <c r="D49" s="3" t="n"/>
      <c r="J49" s="2" t="n"/>
      <c r="K49" s="2" t="n"/>
      <c r="N49" s="4" t="n"/>
      <c r="V49">
        <f>IF(H49="",0,IFERROR(MATCH(H49,'רשימות'!$A$2:$A$13,0),0))</f>
        <v/>
      </c>
    </row>
    <row r="50">
      <c r="A50">
        <f>IF(C50="","","L-"&amp;TEXT(ROW()-1,"0000"))</f>
        <v/>
      </c>
      <c r="B50" s="2" t="n"/>
      <c r="D50" s="3" t="n"/>
      <c r="J50" s="2" t="n"/>
      <c r="K50" s="2" t="n"/>
      <c r="N50" s="4" t="n"/>
      <c r="V50">
        <f>IF(H50="",0,IFERROR(MATCH(H50,'רשימות'!$A$2:$A$13,0),0))</f>
        <v/>
      </c>
    </row>
    <row r="51">
      <c r="A51">
        <f>IF(C51="","","L-"&amp;TEXT(ROW()-1,"0000"))</f>
        <v/>
      </c>
      <c r="B51" s="2" t="n"/>
      <c r="D51" s="3" t="n"/>
      <c r="J51" s="2" t="n"/>
      <c r="K51" s="2" t="n"/>
      <c r="N51" s="4" t="n"/>
      <c r="V51">
        <f>IF(H51="",0,IFERROR(MATCH(H51,'רשימות'!$A$2:$A$13,0),0))</f>
        <v/>
      </c>
    </row>
    <row r="52">
      <c r="A52">
        <f>IF(C52="","","L-"&amp;TEXT(ROW()-1,"0000"))</f>
        <v/>
      </c>
      <c r="B52" s="2" t="n"/>
      <c r="D52" s="3" t="n"/>
      <c r="J52" s="2" t="n"/>
      <c r="K52" s="2" t="n"/>
      <c r="N52" s="4" t="n"/>
      <c r="V52">
        <f>IF(H52="",0,IFERROR(MATCH(H52,'רשימות'!$A$2:$A$13,0),0))</f>
        <v/>
      </c>
    </row>
    <row r="53">
      <c r="A53">
        <f>IF(C53="","","L-"&amp;TEXT(ROW()-1,"0000"))</f>
        <v/>
      </c>
      <c r="B53" s="2" t="n"/>
      <c r="D53" s="3" t="n"/>
      <c r="J53" s="2" t="n"/>
      <c r="K53" s="2" t="n"/>
      <c r="N53" s="4" t="n"/>
      <c r="V53">
        <f>IF(H53="",0,IFERROR(MATCH(H53,'רשימות'!$A$2:$A$13,0),0))</f>
        <v/>
      </c>
    </row>
    <row r="54">
      <c r="A54">
        <f>IF(C54="","","L-"&amp;TEXT(ROW()-1,"0000"))</f>
        <v/>
      </c>
      <c r="B54" s="2" t="n"/>
      <c r="D54" s="3" t="n"/>
      <c r="J54" s="2" t="n"/>
      <c r="K54" s="2" t="n"/>
      <c r="N54" s="4" t="n"/>
      <c r="V54">
        <f>IF(H54="",0,IFERROR(MATCH(H54,'רשימות'!$A$2:$A$13,0),0))</f>
        <v/>
      </c>
    </row>
    <row r="55">
      <c r="A55">
        <f>IF(C55="","","L-"&amp;TEXT(ROW()-1,"0000"))</f>
        <v/>
      </c>
      <c r="B55" s="2" t="n"/>
      <c r="D55" s="3" t="n"/>
      <c r="J55" s="2" t="n"/>
      <c r="K55" s="2" t="n"/>
      <c r="N55" s="4" t="n"/>
      <c r="V55">
        <f>IF(H55="",0,IFERROR(MATCH(H55,'רשימות'!$A$2:$A$13,0),0))</f>
        <v/>
      </c>
    </row>
    <row r="56">
      <c r="A56">
        <f>IF(C56="","","L-"&amp;TEXT(ROW()-1,"0000"))</f>
        <v/>
      </c>
      <c r="B56" s="2" t="n"/>
      <c r="D56" s="3" t="n"/>
      <c r="J56" s="2" t="n"/>
      <c r="K56" s="2" t="n"/>
      <c r="N56" s="4" t="n"/>
      <c r="V56">
        <f>IF(H56="",0,IFERROR(MATCH(H56,'רשימות'!$A$2:$A$13,0),0))</f>
        <v/>
      </c>
    </row>
    <row r="57">
      <c r="A57">
        <f>IF(C57="","","L-"&amp;TEXT(ROW()-1,"0000"))</f>
        <v/>
      </c>
      <c r="B57" s="2" t="n"/>
      <c r="D57" s="3" t="n"/>
      <c r="J57" s="2" t="n"/>
      <c r="K57" s="2" t="n"/>
      <c r="N57" s="4" t="n"/>
      <c r="V57">
        <f>IF(H57="",0,IFERROR(MATCH(H57,'רשימות'!$A$2:$A$13,0),0))</f>
        <v/>
      </c>
    </row>
    <row r="58">
      <c r="A58">
        <f>IF(C58="","","L-"&amp;TEXT(ROW()-1,"0000"))</f>
        <v/>
      </c>
      <c r="B58" s="2" t="n"/>
      <c r="D58" s="3" t="n"/>
      <c r="J58" s="2" t="n"/>
      <c r="K58" s="2" t="n"/>
      <c r="N58" s="4" t="n"/>
      <c r="V58">
        <f>IF(H58="",0,IFERROR(MATCH(H58,'רשימות'!$A$2:$A$13,0),0))</f>
        <v/>
      </c>
    </row>
    <row r="59">
      <c r="A59">
        <f>IF(C59="","","L-"&amp;TEXT(ROW()-1,"0000"))</f>
        <v/>
      </c>
      <c r="B59" s="2" t="n"/>
      <c r="D59" s="3" t="n"/>
      <c r="J59" s="2" t="n"/>
      <c r="K59" s="2" t="n"/>
      <c r="N59" s="4" t="n"/>
      <c r="V59">
        <f>IF(H59="",0,IFERROR(MATCH(H59,'רשימות'!$A$2:$A$13,0),0))</f>
        <v/>
      </c>
    </row>
    <row r="60">
      <c r="A60">
        <f>IF(C60="","","L-"&amp;TEXT(ROW()-1,"0000"))</f>
        <v/>
      </c>
      <c r="B60" s="2" t="n"/>
      <c r="D60" s="3" t="n"/>
      <c r="J60" s="2" t="n"/>
      <c r="K60" s="2" t="n"/>
      <c r="N60" s="4" t="n"/>
      <c r="V60">
        <f>IF(H60="",0,IFERROR(MATCH(H60,'רשימות'!$A$2:$A$13,0),0))</f>
        <v/>
      </c>
    </row>
    <row r="61">
      <c r="A61">
        <f>IF(C61="","","L-"&amp;TEXT(ROW()-1,"0000"))</f>
        <v/>
      </c>
      <c r="B61" s="2" t="n"/>
      <c r="D61" s="3" t="n"/>
      <c r="J61" s="2" t="n"/>
      <c r="K61" s="2" t="n"/>
      <c r="N61" s="4" t="n"/>
      <c r="V61">
        <f>IF(H61="",0,IFERROR(MATCH(H61,'רשימות'!$A$2:$A$13,0),0))</f>
        <v/>
      </c>
    </row>
    <row r="62">
      <c r="A62">
        <f>IF(C62="","","L-"&amp;TEXT(ROW()-1,"0000"))</f>
        <v/>
      </c>
      <c r="B62" s="2" t="n"/>
      <c r="D62" s="3" t="n"/>
      <c r="J62" s="2" t="n"/>
      <c r="K62" s="2" t="n"/>
      <c r="N62" s="4" t="n"/>
      <c r="V62">
        <f>IF(H62="",0,IFERROR(MATCH(H62,'רשימות'!$A$2:$A$13,0),0))</f>
        <v/>
      </c>
    </row>
    <row r="63">
      <c r="A63">
        <f>IF(C63="","","L-"&amp;TEXT(ROW()-1,"0000"))</f>
        <v/>
      </c>
      <c r="B63" s="2" t="n"/>
      <c r="D63" s="3" t="n"/>
      <c r="J63" s="2" t="n"/>
      <c r="K63" s="2" t="n"/>
      <c r="N63" s="4" t="n"/>
      <c r="V63">
        <f>IF(H63="",0,IFERROR(MATCH(H63,'רשימות'!$A$2:$A$13,0),0))</f>
        <v/>
      </c>
    </row>
    <row r="64">
      <c r="A64">
        <f>IF(C64="","","L-"&amp;TEXT(ROW()-1,"0000"))</f>
        <v/>
      </c>
      <c r="B64" s="2" t="n"/>
      <c r="D64" s="3" t="n"/>
      <c r="J64" s="2" t="n"/>
      <c r="K64" s="2" t="n"/>
      <c r="N64" s="4" t="n"/>
      <c r="V64">
        <f>IF(H64="",0,IFERROR(MATCH(H64,'רשימות'!$A$2:$A$13,0),0))</f>
        <v/>
      </c>
    </row>
    <row r="65">
      <c r="A65">
        <f>IF(C65="","","L-"&amp;TEXT(ROW()-1,"0000"))</f>
        <v/>
      </c>
      <c r="B65" s="2" t="n"/>
      <c r="D65" s="3" t="n"/>
      <c r="J65" s="2" t="n"/>
      <c r="K65" s="2" t="n"/>
      <c r="N65" s="4" t="n"/>
      <c r="V65">
        <f>IF(H65="",0,IFERROR(MATCH(H65,'רשימות'!$A$2:$A$13,0),0))</f>
        <v/>
      </c>
    </row>
    <row r="66">
      <c r="A66">
        <f>IF(C66="","","L-"&amp;TEXT(ROW()-1,"0000"))</f>
        <v/>
      </c>
      <c r="B66" s="2" t="n"/>
      <c r="D66" s="3" t="n"/>
      <c r="J66" s="2" t="n"/>
      <c r="K66" s="2" t="n"/>
      <c r="N66" s="4" t="n"/>
      <c r="V66">
        <f>IF(H66="",0,IFERROR(MATCH(H66,'רשימות'!$A$2:$A$13,0),0))</f>
        <v/>
      </c>
    </row>
    <row r="67">
      <c r="A67">
        <f>IF(C67="","","L-"&amp;TEXT(ROW()-1,"0000"))</f>
        <v/>
      </c>
      <c r="B67" s="2" t="n"/>
      <c r="D67" s="3" t="n"/>
      <c r="J67" s="2" t="n"/>
      <c r="K67" s="2" t="n"/>
      <c r="N67" s="4" t="n"/>
      <c r="V67">
        <f>IF(H67="",0,IFERROR(MATCH(H67,'רשימות'!$A$2:$A$13,0),0))</f>
        <v/>
      </c>
    </row>
    <row r="68">
      <c r="A68">
        <f>IF(C68="","","L-"&amp;TEXT(ROW()-1,"0000"))</f>
        <v/>
      </c>
      <c r="B68" s="2" t="n"/>
      <c r="D68" s="3" t="n"/>
      <c r="J68" s="2" t="n"/>
      <c r="K68" s="2" t="n"/>
      <c r="N68" s="4" t="n"/>
      <c r="V68">
        <f>IF(H68="",0,IFERROR(MATCH(H68,'רשימות'!$A$2:$A$13,0),0))</f>
        <v/>
      </c>
    </row>
    <row r="69">
      <c r="A69">
        <f>IF(C69="","","L-"&amp;TEXT(ROW()-1,"0000"))</f>
        <v/>
      </c>
      <c r="B69" s="2" t="n"/>
      <c r="D69" s="3" t="n"/>
      <c r="J69" s="2" t="n"/>
      <c r="K69" s="2" t="n"/>
      <c r="N69" s="4" t="n"/>
      <c r="V69">
        <f>IF(H69="",0,IFERROR(MATCH(H69,'רשימות'!$A$2:$A$13,0),0))</f>
        <v/>
      </c>
    </row>
    <row r="70">
      <c r="A70">
        <f>IF(C70="","","L-"&amp;TEXT(ROW()-1,"0000"))</f>
        <v/>
      </c>
      <c r="B70" s="2" t="n"/>
      <c r="D70" s="3" t="n"/>
      <c r="J70" s="2" t="n"/>
      <c r="K70" s="2" t="n"/>
      <c r="N70" s="4" t="n"/>
      <c r="V70">
        <f>IF(H70="",0,IFERROR(MATCH(H70,'רשימות'!$A$2:$A$13,0),0))</f>
        <v/>
      </c>
    </row>
    <row r="71">
      <c r="A71">
        <f>IF(C71="","","L-"&amp;TEXT(ROW()-1,"0000"))</f>
        <v/>
      </c>
      <c r="B71" s="2" t="n"/>
      <c r="D71" s="3" t="n"/>
      <c r="J71" s="2" t="n"/>
      <c r="K71" s="2" t="n"/>
      <c r="N71" s="4" t="n"/>
      <c r="V71">
        <f>IF(H71="",0,IFERROR(MATCH(H71,'רשימות'!$A$2:$A$13,0),0))</f>
        <v/>
      </c>
    </row>
    <row r="72">
      <c r="A72">
        <f>IF(C72="","","L-"&amp;TEXT(ROW()-1,"0000"))</f>
        <v/>
      </c>
      <c r="B72" s="2" t="n"/>
      <c r="D72" s="3" t="n"/>
      <c r="J72" s="2" t="n"/>
      <c r="K72" s="2" t="n"/>
      <c r="N72" s="4" t="n"/>
      <c r="V72">
        <f>IF(H72="",0,IFERROR(MATCH(H72,'רשימות'!$A$2:$A$13,0),0))</f>
        <v/>
      </c>
    </row>
    <row r="73">
      <c r="A73">
        <f>IF(C73="","","L-"&amp;TEXT(ROW()-1,"0000"))</f>
        <v/>
      </c>
      <c r="B73" s="2" t="n"/>
      <c r="D73" s="3" t="n"/>
      <c r="J73" s="2" t="n"/>
      <c r="K73" s="2" t="n"/>
      <c r="N73" s="4" t="n"/>
      <c r="V73">
        <f>IF(H73="",0,IFERROR(MATCH(H73,'רשימות'!$A$2:$A$13,0),0))</f>
        <v/>
      </c>
    </row>
    <row r="74">
      <c r="A74">
        <f>IF(C74="","","L-"&amp;TEXT(ROW()-1,"0000"))</f>
        <v/>
      </c>
      <c r="B74" s="2" t="n"/>
      <c r="D74" s="3" t="n"/>
      <c r="J74" s="2" t="n"/>
      <c r="K74" s="2" t="n"/>
      <c r="N74" s="4" t="n"/>
      <c r="V74">
        <f>IF(H74="",0,IFERROR(MATCH(H74,'רשימות'!$A$2:$A$13,0),0))</f>
        <v/>
      </c>
    </row>
    <row r="75">
      <c r="A75">
        <f>IF(C75="","","L-"&amp;TEXT(ROW()-1,"0000"))</f>
        <v/>
      </c>
      <c r="B75" s="2" t="n"/>
      <c r="D75" s="3" t="n"/>
      <c r="J75" s="2" t="n"/>
      <c r="K75" s="2" t="n"/>
      <c r="N75" s="4" t="n"/>
      <c r="V75">
        <f>IF(H75="",0,IFERROR(MATCH(H75,'רשימות'!$A$2:$A$13,0),0))</f>
        <v/>
      </c>
    </row>
    <row r="76">
      <c r="A76">
        <f>IF(C76="","","L-"&amp;TEXT(ROW()-1,"0000"))</f>
        <v/>
      </c>
      <c r="B76" s="2" t="n"/>
      <c r="D76" s="3" t="n"/>
      <c r="J76" s="2" t="n"/>
      <c r="K76" s="2" t="n"/>
      <c r="N76" s="4" t="n"/>
      <c r="V76">
        <f>IF(H76="",0,IFERROR(MATCH(H76,'רשימות'!$A$2:$A$13,0),0))</f>
        <v/>
      </c>
    </row>
    <row r="77">
      <c r="A77">
        <f>IF(C77="","","L-"&amp;TEXT(ROW()-1,"0000"))</f>
        <v/>
      </c>
      <c r="B77" s="2" t="n"/>
      <c r="D77" s="3" t="n"/>
      <c r="J77" s="2" t="n"/>
      <c r="K77" s="2" t="n"/>
      <c r="N77" s="4" t="n"/>
      <c r="V77">
        <f>IF(H77="",0,IFERROR(MATCH(H77,'רשימות'!$A$2:$A$13,0),0))</f>
        <v/>
      </c>
    </row>
    <row r="78">
      <c r="A78">
        <f>IF(C78="","","L-"&amp;TEXT(ROW()-1,"0000"))</f>
        <v/>
      </c>
      <c r="B78" s="2" t="n"/>
      <c r="D78" s="3" t="n"/>
      <c r="J78" s="2" t="n"/>
      <c r="K78" s="2" t="n"/>
      <c r="N78" s="4" t="n"/>
      <c r="V78">
        <f>IF(H78="",0,IFERROR(MATCH(H78,'רשימות'!$A$2:$A$13,0),0))</f>
        <v/>
      </c>
    </row>
    <row r="79">
      <c r="A79">
        <f>IF(C79="","","L-"&amp;TEXT(ROW()-1,"0000"))</f>
        <v/>
      </c>
      <c r="B79" s="2" t="n"/>
      <c r="D79" s="3" t="n"/>
      <c r="J79" s="2" t="n"/>
      <c r="K79" s="2" t="n"/>
      <c r="N79" s="4" t="n"/>
      <c r="V79">
        <f>IF(H79="",0,IFERROR(MATCH(H79,'רשימות'!$A$2:$A$13,0),0))</f>
        <v/>
      </c>
    </row>
    <row r="80">
      <c r="A80">
        <f>IF(C80="","","L-"&amp;TEXT(ROW()-1,"0000"))</f>
        <v/>
      </c>
      <c r="B80" s="2" t="n"/>
      <c r="D80" s="3" t="n"/>
      <c r="J80" s="2" t="n"/>
      <c r="K80" s="2" t="n"/>
      <c r="N80" s="4" t="n"/>
      <c r="V80">
        <f>IF(H80="",0,IFERROR(MATCH(H80,'רשימות'!$A$2:$A$13,0),0))</f>
        <v/>
      </c>
    </row>
    <row r="81">
      <c r="A81">
        <f>IF(C81="","","L-"&amp;TEXT(ROW()-1,"0000"))</f>
        <v/>
      </c>
      <c r="B81" s="2" t="n"/>
      <c r="D81" s="3" t="n"/>
      <c r="J81" s="2" t="n"/>
      <c r="K81" s="2" t="n"/>
      <c r="N81" s="4" t="n"/>
      <c r="V81">
        <f>IF(H81="",0,IFERROR(MATCH(H81,'רשימות'!$A$2:$A$13,0),0))</f>
        <v/>
      </c>
    </row>
    <row r="82">
      <c r="A82">
        <f>IF(C82="","","L-"&amp;TEXT(ROW()-1,"0000"))</f>
        <v/>
      </c>
      <c r="B82" s="2" t="n"/>
      <c r="D82" s="3" t="n"/>
      <c r="J82" s="2" t="n"/>
      <c r="K82" s="2" t="n"/>
      <c r="N82" s="4" t="n"/>
      <c r="V82">
        <f>IF(H82="",0,IFERROR(MATCH(H82,'רשימות'!$A$2:$A$13,0),0))</f>
        <v/>
      </c>
    </row>
    <row r="83">
      <c r="A83">
        <f>IF(C83="","","L-"&amp;TEXT(ROW()-1,"0000"))</f>
        <v/>
      </c>
      <c r="B83" s="2" t="n"/>
      <c r="D83" s="3" t="n"/>
      <c r="J83" s="2" t="n"/>
      <c r="K83" s="2" t="n"/>
      <c r="N83" s="4" t="n"/>
      <c r="V83">
        <f>IF(H83="",0,IFERROR(MATCH(H83,'רשימות'!$A$2:$A$13,0),0))</f>
        <v/>
      </c>
    </row>
    <row r="84">
      <c r="A84">
        <f>IF(C84="","","L-"&amp;TEXT(ROW()-1,"0000"))</f>
        <v/>
      </c>
      <c r="B84" s="2" t="n"/>
      <c r="D84" s="3" t="n"/>
      <c r="J84" s="2" t="n"/>
      <c r="K84" s="2" t="n"/>
      <c r="N84" s="4" t="n"/>
      <c r="V84">
        <f>IF(H84="",0,IFERROR(MATCH(H84,'רשימות'!$A$2:$A$13,0),0))</f>
        <v/>
      </c>
    </row>
    <row r="85">
      <c r="A85">
        <f>IF(C85="","","L-"&amp;TEXT(ROW()-1,"0000"))</f>
        <v/>
      </c>
      <c r="B85" s="2" t="n"/>
      <c r="D85" s="3" t="n"/>
      <c r="J85" s="2" t="n"/>
      <c r="K85" s="2" t="n"/>
      <c r="N85" s="4" t="n"/>
      <c r="V85">
        <f>IF(H85="",0,IFERROR(MATCH(H85,'רשימות'!$A$2:$A$13,0),0))</f>
        <v/>
      </c>
    </row>
    <row r="86">
      <c r="A86">
        <f>IF(C86="","","L-"&amp;TEXT(ROW()-1,"0000"))</f>
        <v/>
      </c>
      <c r="B86" s="2" t="n"/>
      <c r="D86" s="3" t="n"/>
      <c r="J86" s="2" t="n"/>
      <c r="K86" s="2" t="n"/>
      <c r="N86" s="4" t="n"/>
      <c r="V86">
        <f>IF(H86="",0,IFERROR(MATCH(H86,'רשימות'!$A$2:$A$13,0),0))</f>
        <v/>
      </c>
    </row>
    <row r="87">
      <c r="A87">
        <f>IF(C87="","","L-"&amp;TEXT(ROW()-1,"0000"))</f>
        <v/>
      </c>
      <c r="B87" s="2" t="n"/>
      <c r="D87" s="3" t="n"/>
      <c r="J87" s="2" t="n"/>
      <c r="K87" s="2" t="n"/>
      <c r="N87" s="4" t="n"/>
      <c r="V87">
        <f>IF(H87="",0,IFERROR(MATCH(H87,'רשימות'!$A$2:$A$13,0),0))</f>
        <v/>
      </c>
    </row>
    <row r="88">
      <c r="A88">
        <f>IF(C88="","","L-"&amp;TEXT(ROW()-1,"0000"))</f>
        <v/>
      </c>
      <c r="B88" s="2" t="n"/>
      <c r="D88" s="3" t="n"/>
      <c r="J88" s="2" t="n"/>
      <c r="K88" s="2" t="n"/>
      <c r="N88" s="4" t="n"/>
      <c r="V88">
        <f>IF(H88="",0,IFERROR(MATCH(H88,'רשימות'!$A$2:$A$13,0),0))</f>
        <v/>
      </c>
    </row>
    <row r="89">
      <c r="A89">
        <f>IF(C89="","","L-"&amp;TEXT(ROW()-1,"0000"))</f>
        <v/>
      </c>
      <c r="B89" s="2" t="n"/>
      <c r="D89" s="3" t="n"/>
      <c r="J89" s="2" t="n"/>
      <c r="K89" s="2" t="n"/>
      <c r="N89" s="4" t="n"/>
      <c r="V89">
        <f>IF(H89="",0,IFERROR(MATCH(H89,'רשימות'!$A$2:$A$13,0),0))</f>
        <v/>
      </c>
    </row>
    <row r="90">
      <c r="A90">
        <f>IF(C90="","","L-"&amp;TEXT(ROW()-1,"0000"))</f>
        <v/>
      </c>
      <c r="B90" s="2" t="n"/>
      <c r="D90" s="3" t="n"/>
      <c r="J90" s="2" t="n"/>
      <c r="K90" s="2" t="n"/>
      <c r="N90" s="4" t="n"/>
      <c r="V90">
        <f>IF(H90="",0,IFERROR(MATCH(H90,'רשימות'!$A$2:$A$13,0),0))</f>
        <v/>
      </c>
    </row>
    <row r="91">
      <c r="A91">
        <f>IF(C91="","","L-"&amp;TEXT(ROW()-1,"0000"))</f>
        <v/>
      </c>
      <c r="B91" s="2" t="n"/>
      <c r="D91" s="3" t="n"/>
      <c r="J91" s="2" t="n"/>
      <c r="K91" s="2" t="n"/>
      <c r="N91" s="4" t="n"/>
      <c r="V91">
        <f>IF(H91="",0,IFERROR(MATCH(H91,'רשימות'!$A$2:$A$13,0),0))</f>
        <v/>
      </c>
    </row>
    <row r="92">
      <c r="A92">
        <f>IF(C92="","","L-"&amp;TEXT(ROW()-1,"0000"))</f>
        <v/>
      </c>
      <c r="B92" s="2" t="n"/>
      <c r="D92" s="3" t="n"/>
      <c r="J92" s="2" t="n"/>
      <c r="K92" s="2" t="n"/>
      <c r="N92" s="4" t="n"/>
      <c r="V92">
        <f>IF(H92="",0,IFERROR(MATCH(H92,'רשימות'!$A$2:$A$13,0),0))</f>
        <v/>
      </c>
    </row>
    <row r="93">
      <c r="A93">
        <f>IF(C93="","","L-"&amp;TEXT(ROW()-1,"0000"))</f>
        <v/>
      </c>
      <c r="B93" s="2" t="n"/>
      <c r="D93" s="3" t="n"/>
      <c r="J93" s="2" t="n"/>
      <c r="K93" s="2" t="n"/>
      <c r="N93" s="4" t="n"/>
      <c r="V93">
        <f>IF(H93="",0,IFERROR(MATCH(H93,'רשימות'!$A$2:$A$13,0),0))</f>
        <v/>
      </c>
    </row>
    <row r="94">
      <c r="A94">
        <f>IF(C94="","","L-"&amp;TEXT(ROW()-1,"0000"))</f>
        <v/>
      </c>
      <c r="B94" s="2" t="n"/>
      <c r="D94" s="3" t="n"/>
      <c r="J94" s="2" t="n"/>
      <c r="K94" s="2" t="n"/>
      <c r="N94" s="4" t="n"/>
      <c r="V94">
        <f>IF(H94="",0,IFERROR(MATCH(H94,'רשימות'!$A$2:$A$13,0),0))</f>
        <v/>
      </c>
    </row>
    <row r="95">
      <c r="A95">
        <f>IF(C95="","","L-"&amp;TEXT(ROW()-1,"0000"))</f>
        <v/>
      </c>
      <c r="B95" s="2" t="n"/>
      <c r="D95" s="3" t="n"/>
      <c r="J95" s="2" t="n"/>
      <c r="K95" s="2" t="n"/>
      <c r="N95" s="4" t="n"/>
      <c r="V95">
        <f>IF(H95="",0,IFERROR(MATCH(H95,'רשימות'!$A$2:$A$13,0),0))</f>
        <v/>
      </c>
    </row>
    <row r="96">
      <c r="A96">
        <f>IF(C96="","","L-"&amp;TEXT(ROW()-1,"0000"))</f>
        <v/>
      </c>
      <c r="B96" s="2" t="n"/>
      <c r="D96" s="3" t="n"/>
      <c r="J96" s="2" t="n"/>
      <c r="K96" s="2" t="n"/>
      <c r="N96" s="4" t="n"/>
      <c r="V96">
        <f>IF(H96="",0,IFERROR(MATCH(H96,'רשימות'!$A$2:$A$13,0),0))</f>
        <v/>
      </c>
    </row>
    <row r="97">
      <c r="A97">
        <f>IF(C97="","","L-"&amp;TEXT(ROW()-1,"0000"))</f>
        <v/>
      </c>
      <c r="B97" s="2" t="n"/>
      <c r="D97" s="3" t="n"/>
      <c r="J97" s="2" t="n"/>
      <c r="K97" s="2" t="n"/>
      <c r="N97" s="4" t="n"/>
      <c r="V97">
        <f>IF(H97="",0,IFERROR(MATCH(H97,'רשימות'!$A$2:$A$13,0),0))</f>
        <v/>
      </c>
    </row>
    <row r="98">
      <c r="A98">
        <f>IF(C98="","","L-"&amp;TEXT(ROW()-1,"0000"))</f>
        <v/>
      </c>
      <c r="B98" s="2" t="n"/>
      <c r="D98" s="3" t="n"/>
      <c r="J98" s="2" t="n"/>
      <c r="K98" s="2" t="n"/>
      <c r="N98" s="4" t="n"/>
      <c r="V98">
        <f>IF(H98="",0,IFERROR(MATCH(H98,'רשימות'!$A$2:$A$13,0),0))</f>
        <v/>
      </c>
    </row>
    <row r="99">
      <c r="A99">
        <f>IF(C99="","","L-"&amp;TEXT(ROW()-1,"0000"))</f>
        <v/>
      </c>
      <c r="B99" s="2" t="n"/>
      <c r="D99" s="3" t="n"/>
      <c r="J99" s="2" t="n"/>
      <c r="K99" s="2" t="n"/>
      <c r="N99" s="4" t="n"/>
      <c r="V99">
        <f>IF(H99="",0,IFERROR(MATCH(H99,'רשימות'!$A$2:$A$13,0),0))</f>
        <v/>
      </c>
    </row>
    <row r="100">
      <c r="A100">
        <f>IF(C100="","","L-"&amp;TEXT(ROW()-1,"0000"))</f>
        <v/>
      </c>
      <c r="B100" s="2" t="n"/>
      <c r="D100" s="3" t="n"/>
      <c r="J100" s="2" t="n"/>
      <c r="K100" s="2" t="n"/>
      <c r="N100" s="4" t="n"/>
      <c r="V100">
        <f>IF(H100="",0,IFERROR(MATCH(H100,'רשימות'!$A$2:$A$13,0),0))</f>
        <v/>
      </c>
    </row>
    <row r="101">
      <c r="A101">
        <f>IF(C101="","","L-"&amp;TEXT(ROW()-1,"0000"))</f>
        <v/>
      </c>
      <c r="B101" s="2" t="n"/>
      <c r="D101" s="3" t="n"/>
      <c r="J101" s="2" t="n"/>
      <c r="K101" s="2" t="n"/>
      <c r="N101" s="4" t="n"/>
      <c r="V101">
        <f>IF(H101="",0,IFERROR(MATCH(H101,'רשימות'!$A$2:$A$13,0),0))</f>
        <v/>
      </c>
    </row>
    <row r="102">
      <c r="A102">
        <f>IF(C102="","","L-"&amp;TEXT(ROW()-1,"0000"))</f>
        <v/>
      </c>
      <c r="B102" s="2" t="n"/>
      <c r="D102" s="3" t="n"/>
      <c r="J102" s="2" t="n"/>
      <c r="K102" s="2" t="n"/>
      <c r="N102" s="4" t="n"/>
      <c r="V102">
        <f>IF(H102="",0,IFERROR(MATCH(H102,'רשימות'!$A$2:$A$13,0),0))</f>
        <v/>
      </c>
    </row>
    <row r="103">
      <c r="A103">
        <f>IF(C103="","","L-"&amp;TEXT(ROW()-1,"0000"))</f>
        <v/>
      </c>
      <c r="B103" s="2" t="n"/>
      <c r="D103" s="3" t="n"/>
      <c r="J103" s="2" t="n"/>
      <c r="K103" s="2" t="n"/>
      <c r="N103" s="4" t="n"/>
      <c r="V103">
        <f>IF(H103="",0,IFERROR(MATCH(H103,'רשימות'!$A$2:$A$13,0),0))</f>
        <v/>
      </c>
    </row>
    <row r="104">
      <c r="A104">
        <f>IF(C104="","","L-"&amp;TEXT(ROW()-1,"0000"))</f>
        <v/>
      </c>
      <c r="B104" s="2" t="n"/>
      <c r="D104" s="3" t="n"/>
      <c r="J104" s="2" t="n"/>
      <c r="K104" s="2" t="n"/>
      <c r="N104" s="4" t="n"/>
      <c r="V104">
        <f>IF(H104="",0,IFERROR(MATCH(H104,'רשימות'!$A$2:$A$13,0),0))</f>
        <v/>
      </c>
    </row>
    <row r="105">
      <c r="A105">
        <f>IF(C105="","","L-"&amp;TEXT(ROW()-1,"0000"))</f>
        <v/>
      </c>
      <c r="B105" s="2" t="n"/>
      <c r="D105" s="3" t="n"/>
      <c r="J105" s="2" t="n"/>
      <c r="K105" s="2" t="n"/>
      <c r="N105" s="4" t="n"/>
      <c r="V105">
        <f>IF(H105="",0,IFERROR(MATCH(H105,'רשימות'!$A$2:$A$13,0),0))</f>
        <v/>
      </c>
    </row>
    <row r="106">
      <c r="A106">
        <f>IF(C106="","","L-"&amp;TEXT(ROW()-1,"0000"))</f>
        <v/>
      </c>
      <c r="B106" s="2" t="n"/>
      <c r="D106" s="3" t="n"/>
      <c r="J106" s="2" t="n"/>
      <c r="K106" s="2" t="n"/>
      <c r="N106" s="4" t="n"/>
      <c r="V106">
        <f>IF(H106="",0,IFERROR(MATCH(H106,'רשימות'!$A$2:$A$13,0),0))</f>
        <v/>
      </c>
    </row>
    <row r="107">
      <c r="A107">
        <f>IF(C107="","","L-"&amp;TEXT(ROW()-1,"0000"))</f>
        <v/>
      </c>
      <c r="B107" s="2" t="n"/>
      <c r="D107" s="3" t="n"/>
      <c r="J107" s="2" t="n"/>
      <c r="K107" s="2" t="n"/>
      <c r="N107" s="4" t="n"/>
      <c r="V107">
        <f>IF(H107="",0,IFERROR(MATCH(H107,'רשימות'!$A$2:$A$13,0),0))</f>
        <v/>
      </c>
    </row>
    <row r="108">
      <c r="A108">
        <f>IF(C108="","","L-"&amp;TEXT(ROW()-1,"0000"))</f>
        <v/>
      </c>
      <c r="B108" s="2" t="n"/>
      <c r="D108" s="3" t="n"/>
      <c r="J108" s="2" t="n"/>
      <c r="K108" s="2" t="n"/>
      <c r="N108" s="4" t="n"/>
      <c r="V108">
        <f>IF(H108="",0,IFERROR(MATCH(H108,'רשימות'!$A$2:$A$13,0),0))</f>
        <v/>
      </c>
    </row>
    <row r="109">
      <c r="A109">
        <f>IF(C109="","","L-"&amp;TEXT(ROW()-1,"0000"))</f>
        <v/>
      </c>
      <c r="B109" s="2" t="n"/>
      <c r="D109" s="3" t="n"/>
      <c r="J109" s="2" t="n"/>
      <c r="K109" s="2" t="n"/>
      <c r="N109" s="4" t="n"/>
      <c r="V109">
        <f>IF(H109="",0,IFERROR(MATCH(H109,'רשימות'!$A$2:$A$13,0),0))</f>
        <v/>
      </c>
    </row>
    <row r="110">
      <c r="A110">
        <f>IF(C110="","","L-"&amp;TEXT(ROW()-1,"0000"))</f>
        <v/>
      </c>
      <c r="B110" s="2" t="n"/>
      <c r="D110" s="3" t="n"/>
      <c r="J110" s="2" t="n"/>
      <c r="K110" s="2" t="n"/>
      <c r="N110" s="4" t="n"/>
      <c r="V110">
        <f>IF(H110="",0,IFERROR(MATCH(H110,'רשימות'!$A$2:$A$13,0),0))</f>
        <v/>
      </c>
    </row>
    <row r="111">
      <c r="A111">
        <f>IF(C111="","","L-"&amp;TEXT(ROW()-1,"0000"))</f>
        <v/>
      </c>
      <c r="B111" s="2" t="n"/>
      <c r="D111" s="3" t="n"/>
      <c r="J111" s="2" t="n"/>
      <c r="K111" s="2" t="n"/>
      <c r="N111" s="4" t="n"/>
      <c r="V111">
        <f>IF(H111="",0,IFERROR(MATCH(H111,'רשימות'!$A$2:$A$13,0),0))</f>
        <v/>
      </c>
    </row>
    <row r="112">
      <c r="A112">
        <f>IF(C112="","","L-"&amp;TEXT(ROW()-1,"0000"))</f>
        <v/>
      </c>
      <c r="B112" s="2" t="n"/>
      <c r="D112" s="3" t="n"/>
      <c r="J112" s="2" t="n"/>
      <c r="K112" s="2" t="n"/>
      <c r="N112" s="4" t="n"/>
      <c r="V112">
        <f>IF(H112="",0,IFERROR(MATCH(H112,'רשימות'!$A$2:$A$13,0),0))</f>
        <v/>
      </c>
    </row>
    <row r="113">
      <c r="A113">
        <f>IF(C113="","","L-"&amp;TEXT(ROW()-1,"0000"))</f>
        <v/>
      </c>
      <c r="B113" s="2" t="n"/>
      <c r="D113" s="3" t="n"/>
      <c r="J113" s="2" t="n"/>
      <c r="K113" s="2" t="n"/>
      <c r="N113" s="4" t="n"/>
      <c r="V113">
        <f>IF(H113="",0,IFERROR(MATCH(H113,'רשימות'!$A$2:$A$13,0),0))</f>
        <v/>
      </c>
    </row>
    <row r="114">
      <c r="A114">
        <f>IF(C114="","","L-"&amp;TEXT(ROW()-1,"0000"))</f>
        <v/>
      </c>
      <c r="B114" s="2" t="n"/>
      <c r="D114" s="3" t="n"/>
      <c r="J114" s="2" t="n"/>
      <c r="K114" s="2" t="n"/>
      <c r="N114" s="4" t="n"/>
      <c r="V114">
        <f>IF(H114="",0,IFERROR(MATCH(H114,'רשימות'!$A$2:$A$13,0),0))</f>
        <v/>
      </c>
    </row>
    <row r="115">
      <c r="A115">
        <f>IF(C115="","","L-"&amp;TEXT(ROW()-1,"0000"))</f>
        <v/>
      </c>
      <c r="B115" s="2" t="n"/>
      <c r="D115" s="3" t="n"/>
      <c r="J115" s="2" t="n"/>
      <c r="K115" s="2" t="n"/>
      <c r="N115" s="4" t="n"/>
      <c r="V115">
        <f>IF(H115="",0,IFERROR(MATCH(H115,'רשימות'!$A$2:$A$13,0),0))</f>
        <v/>
      </c>
    </row>
    <row r="116">
      <c r="A116">
        <f>IF(C116="","","L-"&amp;TEXT(ROW()-1,"0000"))</f>
        <v/>
      </c>
      <c r="B116" s="2" t="n"/>
      <c r="D116" s="3" t="n"/>
      <c r="J116" s="2" t="n"/>
      <c r="K116" s="2" t="n"/>
      <c r="N116" s="4" t="n"/>
      <c r="V116">
        <f>IF(H116="",0,IFERROR(MATCH(H116,'רשימות'!$A$2:$A$13,0),0))</f>
        <v/>
      </c>
    </row>
    <row r="117">
      <c r="A117">
        <f>IF(C117="","","L-"&amp;TEXT(ROW()-1,"0000"))</f>
        <v/>
      </c>
      <c r="B117" s="2" t="n"/>
      <c r="D117" s="3" t="n"/>
      <c r="J117" s="2" t="n"/>
      <c r="K117" s="2" t="n"/>
      <c r="N117" s="4" t="n"/>
      <c r="V117">
        <f>IF(H117="",0,IFERROR(MATCH(H117,'רשימות'!$A$2:$A$13,0),0))</f>
        <v/>
      </c>
    </row>
    <row r="118">
      <c r="A118">
        <f>IF(C118="","","L-"&amp;TEXT(ROW()-1,"0000"))</f>
        <v/>
      </c>
      <c r="B118" s="2" t="n"/>
      <c r="D118" s="3" t="n"/>
      <c r="J118" s="2" t="n"/>
      <c r="K118" s="2" t="n"/>
      <c r="N118" s="4" t="n"/>
      <c r="V118">
        <f>IF(H118="",0,IFERROR(MATCH(H118,'רשימות'!$A$2:$A$13,0),0))</f>
        <v/>
      </c>
    </row>
    <row r="119">
      <c r="A119">
        <f>IF(C119="","","L-"&amp;TEXT(ROW()-1,"0000"))</f>
        <v/>
      </c>
      <c r="B119" s="2" t="n"/>
      <c r="D119" s="3" t="n"/>
      <c r="J119" s="2" t="n"/>
      <c r="K119" s="2" t="n"/>
      <c r="N119" s="4" t="n"/>
      <c r="V119">
        <f>IF(H119="",0,IFERROR(MATCH(H119,'רשימות'!$A$2:$A$13,0),0))</f>
        <v/>
      </c>
    </row>
    <row r="120">
      <c r="A120">
        <f>IF(C120="","","L-"&amp;TEXT(ROW()-1,"0000"))</f>
        <v/>
      </c>
      <c r="B120" s="2" t="n"/>
      <c r="D120" s="3" t="n"/>
      <c r="J120" s="2" t="n"/>
      <c r="K120" s="2" t="n"/>
      <c r="N120" s="4" t="n"/>
      <c r="V120">
        <f>IF(H120="",0,IFERROR(MATCH(H120,'רשימות'!$A$2:$A$13,0),0))</f>
        <v/>
      </c>
    </row>
    <row r="121">
      <c r="A121">
        <f>IF(C121="","","L-"&amp;TEXT(ROW()-1,"0000"))</f>
        <v/>
      </c>
      <c r="B121" s="2" t="n"/>
      <c r="D121" s="3" t="n"/>
      <c r="J121" s="2" t="n"/>
      <c r="K121" s="2" t="n"/>
      <c r="N121" s="4" t="n"/>
      <c r="V121">
        <f>IF(H121="",0,IFERROR(MATCH(H121,'רשימות'!$A$2:$A$13,0),0))</f>
        <v/>
      </c>
    </row>
    <row r="122">
      <c r="A122">
        <f>IF(C122="","","L-"&amp;TEXT(ROW()-1,"0000"))</f>
        <v/>
      </c>
      <c r="B122" s="2" t="n"/>
      <c r="D122" s="3" t="n"/>
      <c r="J122" s="2" t="n"/>
      <c r="K122" s="2" t="n"/>
      <c r="N122" s="4" t="n"/>
      <c r="V122">
        <f>IF(H122="",0,IFERROR(MATCH(H122,'רשימות'!$A$2:$A$13,0),0))</f>
        <v/>
      </c>
    </row>
    <row r="123">
      <c r="A123">
        <f>IF(C123="","","L-"&amp;TEXT(ROW()-1,"0000"))</f>
        <v/>
      </c>
      <c r="B123" s="2" t="n"/>
      <c r="D123" s="3" t="n"/>
      <c r="J123" s="2" t="n"/>
      <c r="K123" s="2" t="n"/>
      <c r="N123" s="4" t="n"/>
      <c r="V123">
        <f>IF(H123="",0,IFERROR(MATCH(H123,'רשימות'!$A$2:$A$13,0),0))</f>
        <v/>
      </c>
    </row>
    <row r="124">
      <c r="A124">
        <f>IF(C124="","","L-"&amp;TEXT(ROW()-1,"0000"))</f>
        <v/>
      </c>
      <c r="B124" s="2" t="n"/>
      <c r="D124" s="3" t="n"/>
      <c r="J124" s="2" t="n"/>
      <c r="K124" s="2" t="n"/>
      <c r="N124" s="4" t="n"/>
      <c r="V124">
        <f>IF(H124="",0,IFERROR(MATCH(H124,'רשימות'!$A$2:$A$13,0),0))</f>
        <v/>
      </c>
    </row>
    <row r="125">
      <c r="A125">
        <f>IF(C125="","","L-"&amp;TEXT(ROW()-1,"0000"))</f>
        <v/>
      </c>
      <c r="B125" s="2" t="n"/>
      <c r="D125" s="3" t="n"/>
      <c r="J125" s="2" t="n"/>
      <c r="K125" s="2" t="n"/>
      <c r="N125" s="4" t="n"/>
      <c r="V125">
        <f>IF(H125="",0,IFERROR(MATCH(H125,'רשימות'!$A$2:$A$13,0),0))</f>
        <v/>
      </c>
    </row>
    <row r="126">
      <c r="A126">
        <f>IF(C126="","","L-"&amp;TEXT(ROW()-1,"0000"))</f>
        <v/>
      </c>
      <c r="B126" s="2" t="n"/>
      <c r="D126" s="3" t="n"/>
      <c r="J126" s="2" t="n"/>
      <c r="K126" s="2" t="n"/>
      <c r="N126" s="4" t="n"/>
      <c r="V126">
        <f>IF(H126="",0,IFERROR(MATCH(H126,'רשימות'!$A$2:$A$13,0),0))</f>
        <v/>
      </c>
    </row>
    <row r="127">
      <c r="A127">
        <f>IF(C127="","","L-"&amp;TEXT(ROW()-1,"0000"))</f>
        <v/>
      </c>
      <c r="B127" s="2" t="n"/>
      <c r="D127" s="3" t="n"/>
      <c r="J127" s="2" t="n"/>
      <c r="K127" s="2" t="n"/>
      <c r="N127" s="4" t="n"/>
      <c r="V127">
        <f>IF(H127="",0,IFERROR(MATCH(H127,'רשימות'!$A$2:$A$13,0),0))</f>
        <v/>
      </c>
    </row>
    <row r="128">
      <c r="A128">
        <f>IF(C128="","","L-"&amp;TEXT(ROW()-1,"0000"))</f>
        <v/>
      </c>
      <c r="B128" s="2" t="n"/>
      <c r="D128" s="3" t="n"/>
      <c r="J128" s="2" t="n"/>
      <c r="K128" s="2" t="n"/>
      <c r="N128" s="4" t="n"/>
      <c r="V128">
        <f>IF(H128="",0,IFERROR(MATCH(H128,'רשימות'!$A$2:$A$13,0),0))</f>
        <v/>
      </c>
    </row>
    <row r="129">
      <c r="A129">
        <f>IF(C129="","","L-"&amp;TEXT(ROW()-1,"0000"))</f>
        <v/>
      </c>
      <c r="B129" s="2" t="n"/>
      <c r="D129" s="3" t="n"/>
      <c r="J129" s="2" t="n"/>
      <c r="K129" s="2" t="n"/>
      <c r="N129" s="4" t="n"/>
      <c r="V129">
        <f>IF(H129="",0,IFERROR(MATCH(H129,'רשימות'!$A$2:$A$13,0),0))</f>
        <v/>
      </c>
    </row>
    <row r="130">
      <c r="A130">
        <f>IF(C130="","","L-"&amp;TEXT(ROW()-1,"0000"))</f>
        <v/>
      </c>
      <c r="B130" s="2" t="n"/>
      <c r="D130" s="3" t="n"/>
      <c r="J130" s="2" t="n"/>
      <c r="K130" s="2" t="n"/>
      <c r="N130" s="4" t="n"/>
      <c r="V130">
        <f>IF(H130="",0,IFERROR(MATCH(H130,'רשימות'!$A$2:$A$13,0),0))</f>
        <v/>
      </c>
    </row>
    <row r="131">
      <c r="A131">
        <f>IF(C131="","","L-"&amp;TEXT(ROW()-1,"0000"))</f>
        <v/>
      </c>
      <c r="B131" s="2" t="n"/>
      <c r="D131" s="3" t="n"/>
      <c r="J131" s="2" t="n"/>
      <c r="K131" s="2" t="n"/>
      <c r="N131" s="4" t="n"/>
      <c r="V131">
        <f>IF(H131="",0,IFERROR(MATCH(H131,'רשימות'!$A$2:$A$13,0),0))</f>
        <v/>
      </c>
    </row>
    <row r="132">
      <c r="A132">
        <f>IF(C132="","","L-"&amp;TEXT(ROW()-1,"0000"))</f>
        <v/>
      </c>
      <c r="B132" s="2" t="n"/>
      <c r="D132" s="3" t="n"/>
      <c r="J132" s="2" t="n"/>
      <c r="K132" s="2" t="n"/>
      <c r="N132" s="4" t="n"/>
      <c r="V132">
        <f>IF(H132="",0,IFERROR(MATCH(H132,'רשימות'!$A$2:$A$13,0),0))</f>
        <v/>
      </c>
    </row>
    <row r="133">
      <c r="A133">
        <f>IF(C133="","","L-"&amp;TEXT(ROW()-1,"0000"))</f>
        <v/>
      </c>
      <c r="B133" s="2" t="n"/>
      <c r="D133" s="3" t="n"/>
      <c r="J133" s="2" t="n"/>
      <c r="K133" s="2" t="n"/>
      <c r="N133" s="4" t="n"/>
      <c r="V133">
        <f>IF(H133="",0,IFERROR(MATCH(H133,'רשימות'!$A$2:$A$13,0),0))</f>
        <v/>
      </c>
    </row>
    <row r="134">
      <c r="A134">
        <f>IF(C134="","","L-"&amp;TEXT(ROW()-1,"0000"))</f>
        <v/>
      </c>
      <c r="B134" s="2" t="n"/>
      <c r="D134" s="3" t="n"/>
      <c r="J134" s="2" t="n"/>
      <c r="K134" s="2" t="n"/>
      <c r="N134" s="4" t="n"/>
      <c r="V134">
        <f>IF(H134="",0,IFERROR(MATCH(H134,'רשימות'!$A$2:$A$13,0),0))</f>
        <v/>
      </c>
    </row>
    <row r="135">
      <c r="A135">
        <f>IF(C135="","","L-"&amp;TEXT(ROW()-1,"0000"))</f>
        <v/>
      </c>
      <c r="B135" s="2" t="n"/>
      <c r="D135" s="3" t="n"/>
      <c r="J135" s="2" t="n"/>
      <c r="K135" s="2" t="n"/>
      <c r="N135" s="4" t="n"/>
      <c r="V135">
        <f>IF(H135="",0,IFERROR(MATCH(H135,'רשימות'!$A$2:$A$13,0),0))</f>
        <v/>
      </c>
    </row>
    <row r="136">
      <c r="A136">
        <f>IF(C136="","","L-"&amp;TEXT(ROW()-1,"0000"))</f>
        <v/>
      </c>
      <c r="B136" s="2" t="n"/>
      <c r="D136" s="3" t="n"/>
      <c r="J136" s="2" t="n"/>
      <c r="K136" s="2" t="n"/>
      <c r="N136" s="4" t="n"/>
      <c r="V136">
        <f>IF(H136="",0,IFERROR(MATCH(H136,'רשימות'!$A$2:$A$13,0),0))</f>
        <v/>
      </c>
    </row>
    <row r="137">
      <c r="A137">
        <f>IF(C137="","","L-"&amp;TEXT(ROW()-1,"0000"))</f>
        <v/>
      </c>
      <c r="B137" s="2" t="n"/>
      <c r="D137" s="3" t="n"/>
      <c r="J137" s="2" t="n"/>
      <c r="K137" s="2" t="n"/>
      <c r="N137" s="4" t="n"/>
      <c r="V137">
        <f>IF(H137="",0,IFERROR(MATCH(H137,'רשימות'!$A$2:$A$13,0),0))</f>
        <v/>
      </c>
    </row>
    <row r="138">
      <c r="A138">
        <f>IF(C138="","","L-"&amp;TEXT(ROW()-1,"0000"))</f>
        <v/>
      </c>
      <c r="B138" s="2" t="n"/>
      <c r="D138" s="3" t="n"/>
      <c r="J138" s="2" t="n"/>
      <c r="K138" s="2" t="n"/>
      <c r="N138" s="4" t="n"/>
      <c r="V138">
        <f>IF(H138="",0,IFERROR(MATCH(H138,'רשימות'!$A$2:$A$13,0),0))</f>
        <v/>
      </c>
    </row>
    <row r="139">
      <c r="A139">
        <f>IF(C139="","","L-"&amp;TEXT(ROW()-1,"0000"))</f>
        <v/>
      </c>
      <c r="B139" s="2" t="n"/>
      <c r="D139" s="3" t="n"/>
      <c r="J139" s="2" t="n"/>
      <c r="K139" s="2" t="n"/>
      <c r="N139" s="4" t="n"/>
      <c r="V139">
        <f>IF(H139="",0,IFERROR(MATCH(H139,'רשימות'!$A$2:$A$13,0),0))</f>
        <v/>
      </c>
    </row>
    <row r="140">
      <c r="A140">
        <f>IF(C140="","","L-"&amp;TEXT(ROW()-1,"0000"))</f>
        <v/>
      </c>
      <c r="B140" s="2" t="n"/>
      <c r="D140" s="3" t="n"/>
      <c r="J140" s="2" t="n"/>
      <c r="K140" s="2" t="n"/>
      <c r="N140" s="4" t="n"/>
      <c r="V140">
        <f>IF(H140="",0,IFERROR(MATCH(H140,'רשימות'!$A$2:$A$13,0),0))</f>
        <v/>
      </c>
    </row>
    <row r="141">
      <c r="A141">
        <f>IF(C141="","","L-"&amp;TEXT(ROW()-1,"0000"))</f>
        <v/>
      </c>
      <c r="B141" s="2" t="n"/>
      <c r="D141" s="3" t="n"/>
      <c r="J141" s="2" t="n"/>
      <c r="K141" s="2" t="n"/>
      <c r="N141" s="4" t="n"/>
      <c r="V141">
        <f>IF(H141="",0,IFERROR(MATCH(H141,'רשימות'!$A$2:$A$13,0),0))</f>
        <v/>
      </c>
    </row>
    <row r="142">
      <c r="A142">
        <f>IF(C142="","","L-"&amp;TEXT(ROW()-1,"0000"))</f>
        <v/>
      </c>
      <c r="B142" s="2" t="n"/>
      <c r="D142" s="3" t="n"/>
      <c r="J142" s="2" t="n"/>
      <c r="K142" s="2" t="n"/>
      <c r="N142" s="4" t="n"/>
      <c r="V142">
        <f>IF(H142="",0,IFERROR(MATCH(H142,'רשימות'!$A$2:$A$13,0),0))</f>
        <v/>
      </c>
    </row>
    <row r="143">
      <c r="A143">
        <f>IF(C143="","","L-"&amp;TEXT(ROW()-1,"0000"))</f>
        <v/>
      </c>
      <c r="B143" s="2" t="n"/>
      <c r="D143" s="3" t="n"/>
      <c r="J143" s="2" t="n"/>
      <c r="K143" s="2" t="n"/>
      <c r="N143" s="4" t="n"/>
      <c r="V143">
        <f>IF(H143="",0,IFERROR(MATCH(H143,'רשימות'!$A$2:$A$13,0),0))</f>
        <v/>
      </c>
    </row>
    <row r="144">
      <c r="A144">
        <f>IF(C144="","","L-"&amp;TEXT(ROW()-1,"0000"))</f>
        <v/>
      </c>
      <c r="B144" s="2" t="n"/>
      <c r="D144" s="3" t="n"/>
      <c r="J144" s="2" t="n"/>
      <c r="K144" s="2" t="n"/>
      <c r="N144" s="4" t="n"/>
      <c r="V144">
        <f>IF(H144="",0,IFERROR(MATCH(H144,'רשימות'!$A$2:$A$13,0),0))</f>
        <v/>
      </c>
    </row>
    <row r="145">
      <c r="A145">
        <f>IF(C145="","","L-"&amp;TEXT(ROW()-1,"0000"))</f>
        <v/>
      </c>
      <c r="B145" s="2" t="n"/>
      <c r="D145" s="3" t="n"/>
      <c r="J145" s="2" t="n"/>
      <c r="K145" s="2" t="n"/>
      <c r="N145" s="4" t="n"/>
      <c r="V145">
        <f>IF(H145="",0,IFERROR(MATCH(H145,'רשימות'!$A$2:$A$13,0),0))</f>
        <v/>
      </c>
    </row>
    <row r="146">
      <c r="A146">
        <f>IF(C146="","","L-"&amp;TEXT(ROW()-1,"0000"))</f>
        <v/>
      </c>
      <c r="B146" s="2" t="n"/>
      <c r="D146" s="3" t="n"/>
      <c r="J146" s="2" t="n"/>
      <c r="K146" s="2" t="n"/>
      <c r="N146" s="4" t="n"/>
      <c r="V146">
        <f>IF(H146="",0,IFERROR(MATCH(H146,'רשימות'!$A$2:$A$13,0),0))</f>
        <v/>
      </c>
    </row>
    <row r="147">
      <c r="A147">
        <f>IF(C147="","","L-"&amp;TEXT(ROW()-1,"0000"))</f>
        <v/>
      </c>
      <c r="B147" s="2" t="n"/>
      <c r="D147" s="3" t="n"/>
      <c r="J147" s="2" t="n"/>
      <c r="K147" s="2" t="n"/>
      <c r="N147" s="4" t="n"/>
      <c r="V147">
        <f>IF(H147="",0,IFERROR(MATCH(H147,'רשימות'!$A$2:$A$13,0),0))</f>
        <v/>
      </c>
    </row>
    <row r="148">
      <c r="A148">
        <f>IF(C148="","","L-"&amp;TEXT(ROW()-1,"0000"))</f>
        <v/>
      </c>
      <c r="B148" s="2" t="n"/>
      <c r="D148" s="3" t="n"/>
      <c r="J148" s="2" t="n"/>
      <c r="K148" s="2" t="n"/>
      <c r="N148" s="4" t="n"/>
      <c r="V148">
        <f>IF(H148="",0,IFERROR(MATCH(H148,'רשימות'!$A$2:$A$13,0),0))</f>
        <v/>
      </c>
    </row>
    <row r="149">
      <c r="A149">
        <f>IF(C149="","","L-"&amp;TEXT(ROW()-1,"0000"))</f>
        <v/>
      </c>
      <c r="B149" s="2" t="n"/>
      <c r="D149" s="3" t="n"/>
      <c r="J149" s="2" t="n"/>
      <c r="K149" s="2" t="n"/>
      <c r="N149" s="4" t="n"/>
      <c r="V149">
        <f>IF(H149="",0,IFERROR(MATCH(H149,'רשימות'!$A$2:$A$13,0),0))</f>
        <v/>
      </c>
    </row>
    <row r="150">
      <c r="A150">
        <f>IF(C150="","","L-"&amp;TEXT(ROW()-1,"0000"))</f>
        <v/>
      </c>
      <c r="B150" s="2" t="n"/>
      <c r="D150" s="3" t="n"/>
      <c r="J150" s="2" t="n"/>
      <c r="K150" s="2" t="n"/>
      <c r="N150" s="4" t="n"/>
      <c r="V150">
        <f>IF(H150="",0,IFERROR(MATCH(H150,'רשימות'!$A$2:$A$13,0),0))</f>
        <v/>
      </c>
    </row>
    <row r="151">
      <c r="A151">
        <f>IF(C151="","","L-"&amp;TEXT(ROW()-1,"0000"))</f>
        <v/>
      </c>
      <c r="B151" s="2" t="n"/>
      <c r="D151" s="3" t="n"/>
      <c r="J151" s="2" t="n"/>
      <c r="K151" s="2" t="n"/>
      <c r="N151" s="4" t="n"/>
      <c r="V151">
        <f>IF(H151="",0,IFERROR(MATCH(H151,'רשימות'!$A$2:$A$13,0),0))</f>
        <v/>
      </c>
    </row>
    <row r="152">
      <c r="A152">
        <f>IF(C152="","","L-"&amp;TEXT(ROW()-1,"0000"))</f>
        <v/>
      </c>
      <c r="B152" s="2" t="n"/>
      <c r="D152" s="3" t="n"/>
      <c r="J152" s="2" t="n"/>
      <c r="K152" s="2" t="n"/>
      <c r="N152" s="4" t="n"/>
      <c r="V152">
        <f>IF(H152="",0,IFERROR(MATCH(H152,'רשימות'!$A$2:$A$13,0),0))</f>
        <v/>
      </c>
    </row>
    <row r="153">
      <c r="A153">
        <f>IF(C153="","","L-"&amp;TEXT(ROW()-1,"0000"))</f>
        <v/>
      </c>
      <c r="B153" s="2" t="n"/>
      <c r="D153" s="3" t="n"/>
      <c r="J153" s="2" t="n"/>
      <c r="K153" s="2" t="n"/>
      <c r="N153" s="4" t="n"/>
      <c r="V153">
        <f>IF(H153="",0,IFERROR(MATCH(H153,'רשימות'!$A$2:$A$13,0),0))</f>
        <v/>
      </c>
    </row>
    <row r="154">
      <c r="A154">
        <f>IF(C154="","","L-"&amp;TEXT(ROW()-1,"0000"))</f>
        <v/>
      </c>
      <c r="B154" s="2" t="n"/>
      <c r="D154" s="3" t="n"/>
      <c r="J154" s="2" t="n"/>
      <c r="K154" s="2" t="n"/>
      <c r="N154" s="4" t="n"/>
      <c r="V154">
        <f>IF(H154="",0,IFERROR(MATCH(H154,'רשימות'!$A$2:$A$13,0),0))</f>
        <v/>
      </c>
    </row>
    <row r="155">
      <c r="A155">
        <f>IF(C155="","","L-"&amp;TEXT(ROW()-1,"0000"))</f>
        <v/>
      </c>
      <c r="B155" s="2" t="n"/>
      <c r="D155" s="3" t="n"/>
      <c r="J155" s="2" t="n"/>
      <c r="K155" s="2" t="n"/>
      <c r="N155" s="4" t="n"/>
      <c r="V155">
        <f>IF(H155="",0,IFERROR(MATCH(H155,'רשימות'!$A$2:$A$13,0),0))</f>
        <v/>
      </c>
    </row>
    <row r="156">
      <c r="A156">
        <f>IF(C156="","","L-"&amp;TEXT(ROW()-1,"0000"))</f>
        <v/>
      </c>
      <c r="B156" s="2" t="n"/>
      <c r="D156" s="3" t="n"/>
      <c r="J156" s="2" t="n"/>
      <c r="K156" s="2" t="n"/>
      <c r="N156" s="4" t="n"/>
      <c r="V156">
        <f>IF(H156="",0,IFERROR(MATCH(H156,'רשימות'!$A$2:$A$13,0),0))</f>
        <v/>
      </c>
    </row>
    <row r="157">
      <c r="A157">
        <f>IF(C157="","","L-"&amp;TEXT(ROW()-1,"0000"))</f>
        <v/>
      </c>
      <c r="B157" s="2" t="n"/>
      <c r="D157" s="3" t="n"/>
      <c r="J157" s="2" t="n"/>
      <c r="K157" s="2" t="n"/>
      <c r="N157" s="4" t="n"/>
      <c r="V157">
        <f>IF(H157="",0,IFERROR(MATCH(H157,'רשימות'!$A$2:$A$13,0),0))</f>
        <v/>
      </c>
    </row>
    <row r="158">
      <c r="A158">
        <f>IF(C158="","","L-"&amp;TEXT(ROW()-1,"0000"))</f>
        <v/>
      </c>
      <c r="B158" s="2" t="n"/>
      <c r="D158" s="3" t="n"/>
      <c r="J158" s="2" t="n"/>
      <c r="K158" s="2" t="n"/>
      <c r="N158" s="4" t="n"/>
      <c r="V158">
        <f>IF(H158="",0,IFERROR(MATCH(H158,'רשימות'!$A$2:$A$13,0),0))</f>
        <v/>
      </c>
    </row>
    <row r="159">
      <c r="A159">
        <f>IF(C159="","","L-"&amp;TEXT(ROW()-1,"0000"))</f>
        <v/>
      </c>
      <c r="B159" s="2" t="n"/>
      <c r="D159" s="3" t="n"/>
      <c r="J159" s="2" t="n"/>
      <c r="K159" s="2" t="n"/>
      <c r="N159" s="4" t="n"/>
      <c r="V159">
        <f>IF(H159="",0,IFERROR(MATCH(H159,'רשימות'!$A$2:$A$13,0),0))</f>
        <v/>
      </c>
    </row>
    <row r="160">
      <c r="A160">
        <f>IF(C160="","","L-"&amp;TEXT(ROW()-1,"0000"))</f>
        <v/>
      </c>
      <c r="B160" s="2" t="n"/>
      <c r="D160" s="3" t="n"/>
      <c r="J160" s="2" t="n"/>
      <c r="K160" s="2" t="n"/>
      <c r="N160" s="4" t="n"/>
      <c r="V160">
        <f>IF(H160="",0,IFERROR(MATCH(H160,'רשימות'!$A$2:$A$13,0),0))</f>
        <v/>
      </c>
    </row>
    <row r="161">
      <c r="A161">
        <f>IF(C161="","","L-"&amp;TEXT(ROW()-1,"0000"))</f>
        <v/>
      </c>
      <c r="B161" s="2" t="n"/>
      <c r="D161" s="3" t="n"/>
      <c r="J161" s="2" t="n"/>
      <c r="K161" s="2" t="n"/>
      <c r="N161" s="4" t="n"/>
      <c r="V161">
        <f>IF(H161="",0,IFERROR(MATCH(H161,'רשימות'!$A$2:$A$13,0),0))</f>
        <v/>
      </c>
    </row>
    <row r="162">
      <c r="A162">
        <f>IF(C162="","","L-"&amp;TEXT(ROW()-1,"0000"))</f>
        <v/>
      </c>
      <c r="B162" s="2" t="n"/>
      <c r="D162" s="3" t="n"/>
      <c r="J162" s="2" t="n"/>
      <c r="K162" s="2" t="n"/>
      <c r="N162" s="4" t="n"/>
      <c r="V162">
        <f>IF(H162="",0,IFERROR(MATCH(H162,'רשימות'!$A$2:$A$13,0),0))</f>
        <v/>
      </c>
    </row>
    <row r="163">
      <c r="A163">
        <f>IF(C163="","","L-"&amp;TEXT(ROW()-1,"0000"))</f>
        <v/>
      </c>
      <c r="B163" s="2" t="n"/>
      <c r="D163" s="3" t="n"/>
      <c r="J163" s="2" t="n"/>
      <c r="K163" s="2" t="n"/>
      <c r="N163" s="4" t="n"/>
      <c r="V163">
        <f>IF(H163="",0,IFERROR(MATCH(H163,'רשימות'!$A$2:$A$13,0),0))</f>
        <v/>
      </c>
    </row>
    <row r="164">
      <c r="A164">
        <f>IF(C164="","","L-"&amp;TEXT(ROW()-1,"0000"))</f>
        <v/>
      </c>
      <c r="B164" s="2" t="n"/>
      <c r="D164" s="3" t="n"/>
      <c r="J164" s="2" t="n"/>
      <c r="K164" s="2" t="n"/>
      <c r="N164" s="4" t="n"/>
      <c r="V164">
        <f>IF(H164="",0,IFERROR(MATCH(H164,'רשימות'!$A$2:$A$13,0),0))</f>
        <v/>
      </c>
    </row>
    <row r="165">
      <c r="A165">
        <f>IF(C165="","","L-"&amp;TEXT(ROW()-1,"0000"))</f>
        <v/>
      </c>
      <c r="B165" s="2" t="n"/>
      <c r="D165" s="3" t="n"/>
      <c r="J165" s="2" t="n"/>
      <c r="K165" s="2" t="n"/>
      <c r="N165" s="4" t="n"/>
      <c r="V165">
        <f>IF(H165="",0,IFERROR(MATCH(H165,'רשימות'!$A$2:$A$13,0),0))</f>
        <v/>
      </c>
    </row>
    <row r="166">
      <c r="A166">
        <f>IF(C166="","","L-"&amp;TEXT(ROW()-1,"0000"))</f>
        <v/>
      </c>
      <c r="B166" s="2" t="n"/>
      <c r="D166" s="3" t="n"/>
      <c r="J166" s="2" t="n"/>
      <c r="K166" s="2" t="n"/>
      <c r="N166" s="4" t="n"/>
      <c r="V166">
        <f>IF(H166="",0,IFERROR(MATCH(H166,'רשימות'!$A$2:$A$13,0),0))</f>
        <v/>
      </c>
    </row>
    <row r="167">
      <c r="A167">
        <f>IF(C167="","","L-"&amp;TEXT(ROW()-1,"0000"))</f>
        <v/>
      </c>
      <c r="B167" s="2" t="n"/>
      <c r="D167" s="3" t="n"/>
      <c r="J167" s="2" t="n"/>
      <c r="K167" s="2" t="n"/>
      <c r="N167" s="4" t="n"/>
      <c r="V167">
        <f>IF(H167="",0,IFERROR(MATCH(H167,'רשימות'!$A$2:$A$13,0),0))</f>
        <v/>
      </c>
    </row>
    <row r="168">
      <c r="A168">
        <f>IF(C168="","","L-"&amp;TEXT(ROW()-1,"0000"))</f>
        <v/>
      </c>
      <c r="B168" s="2" t="n"/>
      <c r="D168" s="3" t="n"/>
      <c r="J168" s="2" t="n"/>
      <c r="K168" s="2" t="n"/>
      <c r="N168" s="4" t="n"/>
      <c r="V168">
        <f>IF(H168="",0,IFERROR(MATCH(H168,'רשימות'!$A$2:$A$13,0),0))</f>
        <v/>
      </c>
    </row>
    <row r="169">
      <c r="A169">
        <f>IF(C169="","","L-"&amp;TEXT(ROW()-1,"0000"))</f>
        <v/>
      </c>
      <c r="B169" s="2" t="n"/>
      <c r="D169" s="3" t="n"/>
      <c r="J169" s="2" t="n"/>
      <c r="K169" s="2" t="n"/>
      <c r="N169" s="4" t="n"/>
      <c r="V169">
        <f>IF(H169="",0,IFERROR(MATCH(H169,'רשימות'!$A$2:$A$13,0),0))</f>
        <v/>
      </c>
    </row>
    <row r="170">
      <c r="A170">
        <f>IF(C170="","","L-"&amp;TEXT(ROW()-1,"0000"))</f>
        <v/>
      </c>
      <c r="B170" s="2" t="n"/>
      <c r="D170" s="3" t="n"/>
      <c r="J170" s="2" t="n"/>
      <c r="K170" s="2" t="n"/>
      <c r="N170" s="4" t="n"/>
      <c r="V170">
        <f>IF(H170="",0,IFERROR(MATCH(H170,'רשימות'!$A$2:$A$13,0),0))</f>
        <v/>
      </c>
    </row>
    <row r="171">
      <c r="A171">
        <f>IF(C171="","","L-"&amp;TEXT(ROW()-1,"0000"))</f>
        <v/>
      </c>
      <c r="B171" s="2" t="n"/>
      <c r="D171" s="3" t="n"/>
      <c r="J171" s="2" t="n"/>
      <c r="K171" s="2" t="n"/>
      <c r="N171" s="4" t="n"/>
      <c r="V171">
        <f>IF(H171="",0,IFERROR(MATCH(H171,'רשימות'!$A$2:$A$13,0),0))</f>
        <v/>
      </c>
    </row>
    <row r="172">
      <c r="A172">
        <f>IF(C172="","","L-"&amp;TEXT(ROW()-1,"0000"))</f>
        <v/>
      </c>
      <c r="B172" s="2" t="n"/>
      <c r="D172" s="3" t="n"/>
      <c r="J172" s="2" t="n"/>
      <c r="K172" s="2" t="n"/>
      <c r="N172" s="4" t="n"/>
      <c r="V172">
        <f>IF(H172="",0,IFERROR(MATCH(H172,'רשימות'!$A$2:$A$13,0),0))</f>
        <v/>
      </c>
    </row>
    <row r="173">
      <c r="A173">
        <f>IF(C173="","","L-"&amp;TEXT(ROW()-1,"0000"))</f>
        <v/>
      </c>
      <c r="B173" s="2" t="n"/>
      <c r="D173" s="3" t="n"/>
      <c r="J173" s="2" t="n"/>
      <c r="K173" s="2" t="n"/>
      <c r="N173" s="4" t="n"/>
      <c r="V173">
        <f>IF(H173="",0,IFERROR(MATCH(H173,'רשימות'!$A$2:$A$13,0),0))</f>
        <v/>
      </c>
    </row>
    <row r="174">
      <c r="A174">
        <f>IF(C174="","","L-"&amp;TEXT(ROW()-1,"0000"))</f>
        <v/>
      </c>
      <c r="B174" s="2" t="n"/>
      <c r="D174" s="3" t="n"/>
      <c r="J174" s="2" t="n"/>
      <c r="K174" s="2" t="n"/>
      <c r="N174" s="4" t="n"/>
      <c r="V174">
        <f>IF(H174="",0,IFERROR(MATCH(H174,'רשימות'!$A$2:$A$13,0),0))</f>
        <v/>
      </c>
    </row>
    <row r="175">
      <c r="A175">
        <f>IF(C175="","","L-"&amp;TEXT(ROW()-1,"0000"))</f>
        <v/>
      </c>
      <c r="B175" s="2" t="n"/>
      <c r="D175" s="3" t="n"/>
      <c r="J175" s="2" t="n"/>
      <c r="K175" s="2" t="n"/>
      <c r="N175" s="4" t="n"/>
      <c r="V175">
        <f>IF(H175="",0,IFERROR(MATCH(H175,'רשימות'!$A$2:$A$13,0),0))</f>
        <v/>
      </c>
    </row>
    <row r="176">
      <c r="A176">
        <f>IF(C176="","","L-"&amp;TEXT(ROW()-1,"0000"))</f>
        <v/>
      </c>
      <c r="B176" s="2" t="n"/>
      <c r="D176" s="3" t="n"/>
      <c r="J176" s="2" t="n"/>
      <c r="K176" s="2" t="n"/>
      <c r="N176" s="4" t="n"/>
      <c r="V176">
        <f>IF(H176="",0,IFERROR(MATCH(H176,'רשימות'!$A$2:$A$13,0),0))</f>
        <v/>
      </c>
    </row>
    <row r="177">
      <c r="A177">
        <f>IF(C177="","","L-"&amp;TEXT(ROW()-1,"0000"))</f>
        <v/>
      </c>
      <c r="B177" s="2" t="n"/>
      <c r="D177" s="3" t="n"/>
      <c r="J177" s="2" t="n"/>
      <c r="K177" s="2" t="n"/>
      <c r="N177" s="4" t="n"/>
      <c r="V177">
        <f>IF(H177="",0,IFERROR(MATCH(H177,'רשימות'!$A$2:$A$13,0),0))</f>
        <v/>
      </c>
    </row>
    <row r="178">
      <c r="A178">
        <f>IF(C178="","","L-"&amp;TEXT(ROW()-1,"0000"))</f>
        <v/>
      </c>
      <c r="B178" s="2" t="n"/>
      <c r="D178" s="3" t="n"/>
      <c r="J178" s="2" t="n"/>
      <c r="K178" s="2" t="n"/>
      <c r="N178" s="4" t="n"/>
      <c r="V178">
        <f>IF(H178="",0,IFERROR(MATCH(H178,'רשימות'!$A$2:$A$13,0),0))</f>
        <v/>
      </c>
    </row>
    <row r="179">
      <c r="A179">
        <f>IF(C179="","","L-"&amp;TEXT(ROW()-1,"0000"))</f>
        <v/>
      </c>
      <c r="B179" s="2" t="n"/>
      <c r="D179" s="3" t="n"/>
      <c r="J179" s="2" t="n"/>
      <c r="K179" s="2" t="n"/>
      <c r="N179" s="4" t="n"/>
      <c r="V179">
        <f>IF(H179="",0,IFERROR(MATCH(H179,'רשימות'!$A$2:$A$13,0),0))</f>
        <v/>
      </c>
    </row>
    <row r="180">
      <c r="A180">
        <f>IF(C180="","","L-"&amp;TEXT(ROW()-1,"0000"))</f>
        <v/>
      </c>
      <c r="B180" s="2" t="n"/>
      <c r="D180" s="3" t="n"/>
      <c r="J180" s="2" t="n"/>
      <c r="K180" s="2" t="n"/>
      <c r="N180" s="4" t="n"/>
      <c r="V180">
        <f>IF(H180="",0,IFERROR(MATCH(H180,'רשימות'!$A$2:$A$13,0),0))</f>
        <v/>
      </c>
    </row>
    <row r="181">
      <c r="A181">
        <f>IF(C181="","","L-"&amp;TEXT(ROW()-1,"0000"))</f>
        <v/>
      </c>
      <c r="B181" s="2" t="n"/>
      <c r="D181" s="3" t="n"/>
      <c r="J181" s="2" t="n"/>
      <c r="K181" s="2" t="n"/>
      <c r="N181" s="4" t="n"/>
      <c r="V181">
        <f>IF(H181="",0,IFERROR(MATCH(H181,'רשימות'!$A$2:$A$13,0),0))</f>
        <v/>
      </c>
    </row>
    <row r="182">
      <c r="A182">
        <f>IF(C182="","","L-"&amp;TEXT(ROW()-1,"0000"))</f>
        <v/>
      </c>
      <c r="B182" s="2" t="n"/>
      <c r="D182" s="3" t="n"/>
      <c r="J182" s="2" t="n"/>
      <c r="K182" s="2" t="n"/>
      <c r="N182" s="4" t="n"/>
      <c r="V182">
        <f>IF(H182="",0,IFERROR(MATCH(H182,'רשימות'!$A$2:$A$13,0),0))</f>
        <v/>
      </c>
    </row>
    <row r="183">
      <c r="A183">
        <f>IF(C183="","","L-"&amp;TEXT(ROW()-1,"0000"))</f>
        <v/>
      </c>
      <c r="B183" s="2" t="n"/>
      <c r="D183" s="3" t="n"/>
      <c r="J183" s="2" t="n"/>
      <c r="K183" s="2" t="n"/>
      <c r="N183" s="4" t="n"/>
      <c r="V183">
        <f>IF(H183="",0,IFERROR(MATCH(H183,'רשימות'!$A$2:$A$13,0),0))</f>
        <v/>
      </c>
    </row>
    <row r="184">
      <c r="A184">
        <f>IF(C184="","","L-"&amp;TEXT(ROW()-1,"0000"))</f>
        <v/>
      </c>
      <c r="B184" s="2" t="n"/>
      <c r="D184" s="3" t="n"/>
      <c r="J184" s="2" t="n"/>
      <c r="K184" s="2" t="n"/>
      <c r="N184" s="4" t="n"/>
      <c r="V184">
        <f>IF(H184="",0,IFERROR(MATCH(H184,'רשימות'!$A$2:$A$13,0),0))</f>
        <v/>
      </c>
    </row>
    <row r="185">
      <c r="A185">
        <f>IF(C185="","","L-"&amp;TEXT(ROW()-1,"0000"))</f>
        <v/>
      </c>
      <c r="B185" s="2" t="n"/>
      <c r="D185" s="3" t="n"/>
      <c r="J185" s="2" t="n"/>
      <c r="K185" s="2" t="n"/>
      <c r="N185" s="4" t="n"/>
      <c r="V185">
        <f>IF(H185="",0,IFERROR(MATCH(H185,'רשימות'!$A$2:$A$13,0),0))</f>
        <v/>
      </c>
    </row>
    <row r="186">
      <c r="A186">
        <f>IF(C186="","","L-"&amp;TEXT(ROW()-1,"0000"))</f>
        <v/>
      </c>
      <c r="B186" s="2" t="n"/>
      <c r="D186" s="3" t="n"/>
      <c r="J186" s="2" t="n"/>
      <c r="K186" s="2" t="n"/>
      <c r="N186" s="4" t="n"/>
      <c r="V186">
        <f>IF(H186="",0,IFERROR(MATCH(H186,'רשימות'!$A$2:$A$13,0),0))</f>
        <v/>
      </c>
    </row>
    <row r="187">
      <c r="A187">
        <f>IF(C187="","","L-"&amp;TEXT(ROW()-1,"0000"))</f>
        <v/>
      </c>
      <c r="B187" s="2" t="n"/>
      <c r="D187" s="3" t="n"/>
      <c r="J187" s="2" t="n"/>
      <c r="K187" s="2" t="n"/>
      <c r="N187" s="4" t="n"/>
      <c r="V187">
        <f>IF(H187="",0,IFERROR(MATCH(H187,'רשימות'!$A$2:$A$13,0),0))</f>
        <v/>
      </c>
    </row>
    <row r="188">
      <c r="A188">
        <f>IF(C188="","","L-"&amp;TEXT(ROW()-1,"0000"))</f>
        <v/>
      </c>
      <c r="B188" s="2" t="n"/>
      <c r="D188" s="3" t="n"/>
      <c r="J188" s="2" t="n"/>
      <c r="K188" s="2" t="n"/>
      <c r="N188" s="4" t="n"/>
      <c r="V188">
        <f>IF(H188="",0,IFERROR(MATCH(H188,'רשימות'!$A$2:$A$13,0),0))</f>
        <v/>
      </c>
    </row>
    <row r="189">
      <c r="A189">
        <f>IF(C189="","","L-"&amp;TEXT(ROW()-1,"0000"))</f>
        <v/>
      </c>
      <c r="B189" s="2" t="n"/>
      <c r="D189" s="3" t="n"/>
      <c r="J189" s="2" t="n"/>
      <c r="K189" s="2" t="n"/>
      <c r="N189" s="4" t="n"/>
      <c r="V189">
        <f>IF(H189="",0,IFERROR(MATCH(H189,'רשימות'!$A$2:$A$13,0),0))</f>
        <v/>
      </c>
    </row>
    <row r="190">
      <c r="A190">
        <f>IF(C190="","","L-"&amp;TEXT(ROW()-1,"0000"))</f>
        <v/>
      </c>
      <c r="B190" s="2" t="n"/>
      <c r="D190" s="3" t="n"/>
      <c r="J190" s="2" t="n"/>
      <c r="K190" s="2" t="n"/>
      <c r="N190" s="4" t="n"/>
      <c r="V190">
        <f>IF(H190="",0,IFERROR(MATCH(H190,'רשימות'!$A$2:$A$13,0),0))</f>
        <v/>
      </c>
    </row>
    <row r="191">
      <c r="A191">
        <f>IF(C191="","","L-"&amp;TEXT(ROW()-1,"0000"))</f>
        <v/>
      </c>
      <c r="B191" s="2" t="n"/>
      <c r="D191" s="3" t="n"/>
      <c r="J191" s="2" t="n"/>
      <c r="K191" s="2" t="n"/>
      <c r="N191" s="4" t="n"/>
      <c r="V191">
        <f>IF(H191="",0,IFERROR(MATCH(H191,'רשימות'!$A$2:$A$13,0),0))</f>
        <v/>
      </c>
    </row>
    <row r="192">
      <c r="A192">
        <f>IF(C192="","","L-"&amp;TEXT(ROW()-1,"0000"))</f>
        <v/>
      </c>
      <c r="B192" s="2" t="n"/>
      <c r="D192" s="3" t="n"/>
      <c r="J192" s="2" t="n"/>
      <c r="K192" s="2" t="n"/>
      <c r="N192" s="4" t="n"/>
      <c r="V192">
        <f>IF(H192="",0,IFERROR(MATCH(H192,'רשימות'!$A$2:$A$13,0),0))</f>
        <v/>
      </c>
    </row>
    <row r="193">
      <c r="A193">
        <f>IF(C193="","","L-"&amp;TEXT(ROW()-1,"0000"))</f>
        <v/>
      </c>
      <c r="B193" s="2" t="n"/>
      <c r="D193" s="3" t="n"/>
      <c r="J193" s="2" t="n"/>
      <c r="K193" s="2" t="n"/>
      <c r="N193" s="4" t="n"/>
      <c r="V193">
        <f>IF(H193="",0,IFERROR(MATCH(H193,'רשימות'!$A$2:$A$13,0),0))</f>
        <v/>
      </c>
    </row>
    <row r="194">
      <c r="A194">
        <f>IF(C194="","","L-"&amp;TEXT(ROW()-1,"0000"))</f>
        <v/>
      </c>
      <c r="B194" s="2" t="n"/>
      <c r="D194" s="3" t="n"/>
      <c r="J194" s="2" t="n"/>
      <c r="K194" s="2" t="n"/>
      <c r="N194" s="4" t="n"/>
      <c r="V194">
        <f>IF(H194="",0,IFERROR(MATCH(H194,'רשימות'!$A$2:$A$13,0),0))</f>
        <v/>
      </c>
    </row>
    <row r="195">
      <c r="A195">
        <f>IF(C195="","","L-"&amp;TEXT(ROW()-1,"0000"))</f>
        <v/>
      </c>
      <c r="B195" s="2" t="n"/>
      <c r="D195" s="3" t="n"/>
      <c r="J195" s="2" t="n"/>
      <c r="K195" s="2" t="n"/>
      <c r="N195" s="4" t="n"/>
      <c r="V195">
        <f>IF(H195="",0,IFERROR(MATCH(H195,'רשימות'!$A$2:$A$13,0),0))</f>
        <v/>
      </c>
    </row>
    <row r="196">
      <c r="A196">
        <f>IF(C196="","","L-"&amp;TEXT(ROW()-1,"0000"))</f>
        <v/>
      </c>
      <c r="B196" s="2" t="n"/>
      <c r="D196" s="3" t="n"/>
      <c r="J196" s="2" t="n"/>
      <c r="K196" s="2" t="n"/>
      <c r="N196" s="4" t="n"/>
      <c r="V196">
        <f>IF(H196="",0,IFERROR(MATCH(H196,'רשימות'!$A$2:$A$13,0),0))</f>
        <v/>
      </c>
    </row>
    <row r="197">
      <c r="A197">
        <f>IF(C197="","","L-"&amp;TEXT(ROW()-1,"0000"))</f>
        <v/>
      </c>
      <c r="B197" s="2" t="n"/>
      <c r="D197" s="3" t="n"/>
      <c r="J197" s="2" t="n"/>
      <c r="K197" s="2" t="n"/>
      <c r="N197" s="4" t="n"/>
      <c r="V197">
        <f>IF(H197="",0,IFERROR(MATCH(H197,'רשימות'!$A$2:$A$13,0),0))</f>
        <v/>
      </c>
    </row>
    <row r="198">
      <c r="A198">
        <f>IF(C198="","","L-"&amp;TEXT(ROW()-1,"0000"))</f>
        <v/>
      </c>
      <c r="B198" s="2" t="n"/>
      <c r="D198" s="3" t="n"/>
      <c r="J198" s="2" t="n"/>
      <c r="K198" s="2" t="n"/>
      <c r="N198" s="4" t="n"/>
      <c r="V198">
        <f>IF(H198="",0,IFERROR(MATCH(H198,'רשימות'!$A$2:$A$13,0),0))</f>
        <v/>
      </c>
    </row>
    <row r="199">
      <c r="A199">
        <f>IF(C199="","","L-"&amp;TEXT(ROW()-1,"0000"))</f>
        <v/>
      </c>
      <c r="B199" s="2" t="n"/>
      <c r="D199" s="3" t="n"/>
      <c r="J199" s="2" t="n"/>
      <c r="K199" s="2" t="n"/>
      <c r="N199" s="4" t="n"/>
      <c r="V199">
        <f>IF(H199="",0,IFERROR(MATCH(H199,'רשימות'!$A$2:$A$13,0),0))</f>
        <v/>
      </c>
    </row>
    <row r="200">
      <c r="A200">
        <f>IF(C200="","","L-"&amp;TEXT(ROW()-1,"0000"))</f>
        <v/>
      </c>
      <c r="B200" s="2" t="n"/>
      <c r="D200" s="3" t="n"/>
      <c r="J200" s="2" t="n"/>
      <c r="K200" s="2" t="n"/>
      <c r="N200" s="4" t="n"/>
      <c r="V200">
        <f>IF(H200="",0,IFERROR(MATCH(H200,'רשימות'!$A$2:$A$13,0),0))</f>
        <v/>
      </c>
    </row>
    <row r="201">
      <c r="A201">
        <f>IF(C201="","","L-"&amp;TEXT(ROW()-1,"0000"))</f>
        <v/>
      </c>
      <c r="B201" s="2" t="n"/>
      <c r="D201" s="3" t="n"/>
      <c r="J201" s="2" t="n"/>
      <c r="K201" s="2" t="n"/>
      <c r="N201" s="4" t="n"/>
      <c r="V201">
        <f>IF(H201="",0,IFERROR(MATCH(H201,'רשימות'!$A$2:$A$13,0),0))</f>
        <v/>
      </c>
    </row>
    <row r="202">
      <c r="A202">
        <f>IF(C202="","","L-"&amp;TEXT(ROW()-1,"0000"))</f>
        <v/>
      </c>
      <c r="B202" s="2" t="n"/>
      <c r="D202" s="3" t="n"/>
      <c r="J202" s="2" t="n"/>
      <c r="K202" s="2" t="n"/>
      <c r="N202" s="4" t="n"/>
      <c r="V202">
        <f>IF(H202="",0,IFERROR(MATCH(H202,'רשימות'!$A$2:$A$13,0),0))</f>
        <v/>
      </c>
    </row>
    <row r="203">
      <c r="A203">
        <f>IF(C203="","","L-"&amp;TEXT(ROW()-1,"0000"))</f>
        <v/>
      </c>
      <c r="B203" s="2" t="n"/>
      <c r="D203" s="3" t="n"/>
      <c r="J203" s="2" t="n"/>
      <c r="K203" s="2" t="n"/>
      <c r="N203" s="4" t="n"/>
      <c r="V203">
        <f>IF(H203="",0,IFERROR(MATCH(H203,'רשימות'!$A$2:$A$13,0),0))</f>
        <v/>
      </c>
    </row>
    <row r="204">
      <c r="A204">
        <f>IF(C204="","","L-"&amp;TEXT(ROW()-1,"0000"))</f>
        <v/>
      </c>
      <c r="B204" s="2" t="n"/>
      <c r="D204" s="3" t="n"/>
      <c r="J204" s="2" t="n"/>
      <c r="K204" s="2" t="n"/>
      <c r="N204" s="4" t="n"/>
      <c r="V204">
        <f>IF(H204="",0,IFERROR(MATCH(H204,'רשימות'!$A$2:$A$13,0),0))</f>
        <v/>
      </c>
    </row>
    <row r="205">
      <c r="A205">
        <f>IF(C205="","","L-"&amp;TEXT(ROW()-1,"0000"))</f>
        <v/>
      </c>
      <c r="B205" s="2" t="n"/>
      <c r="D205" s="3" t="n"/>
      <c r="J205" s="2" t="n"/>
      <c r="K205" s="2" t="n"/>
      <c r="N205" s="4" t="n"/>
      <c r="V205">
        <f>IF(H205="",0,IFERROR(MATCH(H205,'רשימות'!$A$2:$A$13,0),0))</f>
        <v/>
      </c>
    </row>
    <row r="206">
      <c r="A206">
        <f>IF(C206="","","L-"&amp;TEXT(ROW()-1,"0000"))</f>
        <v/>
      </c>
      <c r="B206" s="2" t="n"/>
      <c r="D206" s="3" t="n"/>
      <c r="J206" s="2" t="n"/>
      <c r="K206" s="2" t="n"/>
      <c r="N206" s="4" t="n"/>
      <c r="V206">
        <f>IF(H206="",0,IFERROR(MATCH(H206,'רשימות'!$A$2:$A$13,0),0))</f>
        <v/>
      </c>
    </row>
    <row r="207">
      <c r="A207">
        <f>IF(C207="","","L-"&amp;TEXT(ROW()-1,"0000"))</f>
        <v/>
      </c>
      <c r="B207" s="2" t="n"/>
      <c r="D207" s="3" t="n"/>
      <c r="J207" s="2" t="n"/>
      <c r="K207" s="2" t="n"/>
      <c r="N207" s="4" t="n"/>
      <c r="V207">
        <f>IF(H207="",0,IFERROR(MATCH(H207,'רשימות'!$A$2:$A$13,0),0))</f>
        <v/>
      </c>
    </row>
    <row r="208">
      <c r="A208">
        <f>IF(C208="","","L-"&amp;TEXT(ROW()-1,"0000"))</f>
        <v/>
      </c>
      <c r="B208" s="2" t="n"/>
      <c r="D208" s="3" t="n"/>
      <c r="J208" s="2" t="n"/>
      <c r="K208" s="2" t="n"/>
      <c r="N208" s="4" t="n"/>
      <c r="V208">
        <f>IF(H208="",0,IFERROR(MATCH(H208,'רשימות'!$A$2:$A$13,0),0))</f>
        <v/>
      </c>
    </row>
    <row r="209">
      <c r="A209">
        <f>IF(C209="","","L-"&amp;TEXT(ROW()-1,"0000"))</f>
        <v/>
      </c>
      <c r="B209" s="2" t="n"/>
      <c r="D209" s="3" t="n"/>
      <c r="J209" s="2" t="n"/>
      <c r="K209" s="2" t="n"/>
      <c r="N209" s="4" t="n"/>
      <c r="V209">
        <f>IF(H209="",0,IFERROR(MATCH(H209,'רשימות'!$A$2:$A$13,0),0))</f>
        <v/>
      </c>
    </row>
    <row r="210">
      <c r="A210">
        <f>IF(C210="","","L-"&amp;TEXT(ROW()-1,"0000"))</f>
        <v/>
      </c>
      <c r="B210" s="2" t="n"/>
      <c r="D210" s="3" t="n"/>
      <c r="J210" s="2" t="n"/>
      <c r="K210" s="2" t="n"/>
      <c r="N210" s="4" t="n"/>
      <c r="V210">
        <f>IF(H210="",0,IFERROR(MATCH(H210,'רשימות'!$A$2:$A$13,0),0))</f>
        <v/>
      </c>
    </row>
    <row r="211">
      <c r="A211">
        <f>IF(C211="","","L-"&amp;TEXT(ROW()-1,"0000"))</f>
        <v/>
      </c>
      <c r="B211" s="2" t="n"/>
      <c r="D211" s="3" t="n"/>
      <c r="J211" s="2" t="n"/>
      <c r="K211" s="2" t="n"/>
      <c r="N211" s="4" t="n"/>
      <c r="V211">
        <f>IF(H211="",0,IFERROR(MATCH(H211,'רשימות'!$A$2:$A$13,0),0))</f>
        <v/>
      </c>
    </row>
    <row r="212">
      <c r="A212">
        <f>IF(C212="","","L-"&amp;TEXT(ROW()-1,"0000"))</f>
        <v/>
      </c>
      <c r="B212" s="2" t="n"/>
      <c r="D212" s="3" t="n"/>
      <c r="J212" s="2" t="n"/>
      <c r="K212" s="2" t="n"/>
      <c r="N212" s="4" t="n"/>
      <c r="V212">
        <f>IF(H212="",0,IFERROR(MATCH(H212,'רשימות'!$A$2:$A$13,0),0))</f>
        <v/>
      </c>
    </row>
    <row r="213">
      <c r="A213">
        <f>IF(C213="","","L-"&amp;TEXT(ROW()-1,"0000"))</f>
        <v/>
      </c>
      <c r="B213" s="2" t="n"/>
      <c r="D213" s="3" t="n"/>
      <c r="J213" s="2" t="n"/>
      <c r="K213" s="2" t="n"/>
      <c r="N213" s="4" t="n"/>
      <c r="V213">
        <f>IF(H213="",0,IFERROR(MATCH(H213,'רשימות'!$A$2:$A$13,0),0))</f>
        <v/>
      </c>
    </row>
    <row r="214">
      <c r="A214">
        <f>IF(C214="","","L-"&amp;TEXT(ROW()-1,"0000"))</f>
        <v/>
      </c>
      <c r="B214" s="2" t="n"/>
      <c r="D214" s="3" t="n"/>
      <c r="J214" s="2" t="n"/>
      <c r="K214" s="2" t="n"/>
      <c r="N214" s="4" t="n"/>
      <c r="V214">
        <f>IF(H214="",0,IFERROR(MATCH(H214,'רשימות'!$A$2:$A$13,0),0))</f>
        <v/>
      </c>
    </row>
    <row r="215">
      <c r="A215">
        <f>IF(C215="","","L-"&amp;TEXT(ROW()-1,"0000"))</f>
        <v/>
      </c>
      <c r="B215" s="2" t="n"/>
      <c r="D215" s="3" t="n"/>
      <c r="J215" s="2" t="n"/>
      <c r="K215" s="2" t="n"/>
      <c r="N215" s="4" t="n"/>
      <c r="V215">
        <f>IF(H215="",0,IFERROR(MATCH(H215,'רשימות'!$A$2:$A$13,0),0))</f>
        <v/>
      </c>
    </row>
    <row r="216">
      <c r="A216">
        <f>IF(C216="","","L-"&amp;TEXT(ROW()-1,"0000"))</f>
        <v/>
      </c>
      <c r="B216" s="2" t="n"/>
      <c r="D216" s="3" t="n"/>
      <c r="J216" s="2" t="n"/>
      <c r="K216" s="2" t="n"/>
      <c r="N216" s="4" t="n"/>
      <c r="V216">
        <f>IF(H216="",0,IFERROR(MATCH(H216,'רשימות'!$A$2:$A$13,0),0))</f>
        <v/>
      </c>
    </row>
    <row r="217">
      <c r="A217">
        <f>IF(C217="","","L-"&amp;TEXT(ROW()-1,"0000"))</f>
        <v/>
      </c>
      <c r="B217" s="2" t="n"/>
      <c r="D217" s="3" t="n"/>
      <c r="J217" s="2" t="n"/>
      <c r="K217" s="2" t="n"/>
      <c r="N217" s="4" t="n"/>
      <c r="V217">
        <f>IF(H217="",0,IFERROR(MATCH(H217,'רשימות'!$A$2:$A$13,0),0))</f>
        <v/>
      </c>
    </row>
    <row r="218">
      <c r="A218">
        <f>IF(C218="","","L-"&amp;TEXT(ROW()-1,"0000"))</f>
        <v/>
      </c>
      <c r="B218" s="2" t="n"/>
      <c r="D218" s="3" t="n"/>
      <c r="J218" s="2" t="n"/>
      <c r="K218" s="2" t="n"/>
      <c r="N218" s="4" t="n"/>
      <c r="V218">
        <f>IF(H218="",0,IFERROR(MATCH(H218,'רשימות'!$A$2:$A$13,0),0))</f>
        <v/>
      </c>
    </row>
    <row r="219">
      <c r="A219">
        <f>IF(C219="","","L-"&amp;TEXT(ROW()-1,"0000"))</f>
        <v/>
      </c>
      <c r="B219" s="2" t="n"/>
      <c r="D219" s="3" t="n"/>
      <c r="J219" s="2" t="n"/>
      <c r="K219" s="2" t="n"/>
      <c r="N219" s="4" t="n"/>
      <c r="V219">
        <f>IF(H219="",0,IFERROR(MATCH(H219,'רשימות'!$A$2:$A$13,0),0))</f>
        <v/>
      </c>
    </row>
    <row r="220">
      <c r="A220">
        <f>IF(C220="","","L-"&amp;TEXT(ROW()-1,"0000"))</f>
        <v/>
      </c>
      <c r="B220" s="2" t="n"/>
      <c r="D220" s="3" t="n"/>
      <c r="J220" s="2" t="n"/>
      <c r="K220" s="2" t="n"/>
      <c r="N220" s="4" t="n"/>
      <c r="V220">
        <f>IF(H220="",0,IFERROR(MATCH(H220,'רשימות'!$A$2:$A$13,0),0))</f>
        <v/>
      </c>
    </row>
    <row r="221">
      <c r="A221">
        <f>IF(C221="","","L-"&amp;TEXT(ROW()-1,"0000"))</f>
        <v/>
      </c>
      <c r="B221" s="2" t="n"/>
      <c r="D221" s="3" t="n"/>
      <c r="J221" s="2" t="n"/>
      <c r="K221" s="2" t="n"/>
      <c r="N221" s="4" t="n"/>
      <c r="V221">
        <f>IF(H221="",0,IFERROR(MATCH(H221,'רשימות'!$A$2:$A$13,0),0))</f>
        <v/>
      </c>
    </row>
    <row r="222">
      <c r="A222">
        <f>IF(C222="","","L-"&amp;TEXT(ROW()-1,"0000"))</f>
        <v/>
      </c>
      <c r="B222" s="2" t="n"/>
      <c r="D222" s="3" t="n"/>
      <c r="J222" s="2" t="n"/>
      <c r="K222" s="2" t="n"/>
      <c r="N222" s="4" t="n"/>
      <c r="V222">
        <f>IF(H222="",0,IFERROR(MATCH(H222,'רשימות'!$A$2:$A$13,0),0))</f>
        <v/>
      </c>
    </row>
    <row r="223">
      <c r="A223">
        <f>IF(C223="","","L-"&amp;TEXT(ROW()-1,"0000"))</f>
        <v/>
      </c>
      <c r="B223" s="2" t="n"/>
      <c r="D223" s="3" t="n"/>
      <c r="J223" s="2" t="n"/>
      <c r="K223" s="2" t="n"/>
      <c r="N223" s="4" t="n"/>
      <c r="V223">
        <f>IF(H223="",0,IFERROR(MATCH(H223,'רשימות'!$A$2:$A$13,0),0))</f>
        <v/>
      </c>
    </row>
    <row r="224">
      <c r="A224">
        <f>IF(C224="","","L-"&amp;TEXT(ROW()-1,"0000"))</f>
        <v/>
      </c>
      <c r="B224" s="2" t="n"/>
      <c r="D224" s="3" t="n"/>
      <c r="J224" s="2" t="n"/>
      <c r="K224" s="2" t="n"/>
      <c r="N224" s="4" t="n"/>
      <c r="V224">
        <f>IF(H224="",0,IFERROR(MATCH(H224,'רשימות'!$A$2:$A$13,0),0))</f>
        <v/>
      </c>
    </row>
    <row r="225">
      <c r="A225">
        <f>IF(C225="","","L-"&amp;TEXT(ROW()-1,"0000"))</f>
        <v/>
      </c>
      <c r="B225" s="2" t="n"/>
      <c r="D225" s="3" t="n"/>
      <c r="J225" s="2" t="n"/>
      <c r="K225" s="2" t="n"/>
      <c r="N225" s="4" t="n"/>
      <c r="V225">
        <f>IF(H225="",0,IFERROR(MATCH(H225,'רשימות'!$A$2:$A$13,0),0))</f>
        <v/>
      </c>
    </row>
    <row r="226">
      <c r="A226">
        <f>IF(C226="","","L-"&amp;TEXT(ROW()-1,"0000"))</f>
        <v/>
      </c>
      <c r="B226" s="2" t="n"/>
      <c r="D226" s="3" t="n"/>
      <c r="J226" s="2" t="n"/>
      <c r="K226" s="2" t="n"/>
      <c r="N226" s="4" t="n"/>
      <c r="V226">
        <f>IF(H226="",0,IFERROR(MATCH(H226,'רשימות'!$A$2:$A$13,0),0))</f>
        <v/>
      </c>
    </row>
    <row r="227">
      <c r="A227">
        <f>IF(C227="","","L-"&amp;TEXT(ROW()-1,"0000"))</f>
        <v/>
      </c>
      <c r="B227" s="2" t="n"/>
      <c r="D227" s="3" t="n"/>
      <c r="J227" s="2" t="n"/>
      <c r="K227" s="2" t="n"/>
      <c r="N227" s="4" t="n"/>
      <c r="V227">
        <f>IF(H227="",0,IFERROR(MATCH(H227,'רשימות'!$A$2:$A$13,0),0))</f>
        <v/>
      </c>
    </row>
    <row r="228">
      <c r="A228">
        <f>IF(C228="","","L-"&amp;TEXT(ROW()-1,"0000"))</f>
        <v/>
      </c>
      <c r="B228" s="2" t="n"/>
      <c r="D228" s="3" t="n"/>
      <c r="J228" s="2" t="n"/>
      <c r="K228" s="2" t="n"/>
      <c r="N228" s="4" t="n"/>
      <c r="V228">
        <f>IF(H228="",0,IFERROR(MATCH(H228,'רשימות'!$A$2:$A$13,0),0))</f>
        <v/>
      </c>
    </row>
    <row r="229">
      <c r="A229">
        <f>IF(C229="","","L-"&amp;TEXT(ROW()-1,"0000"))</f>
        <v/>
      </c>
      <c r="B229" s="2" t="n"/>
      <c r="D229" s="3" t="n"/>
      <c r="J229" s="2" t="n"/>
      <c r="K229" s="2" t="n"/>
      <c r="N229" s="4" t="n"/>
      <c r="V229">
        <f>IF(H229="",0,IFERROR(MATCH(H229,'רשימות'!$A$2:$A$13,0),0))</f>
        <v/>
      </c>
    </row>
    <row r="230">
      <c r="A230">
        <f>IF(C230="","","L-"&amp;TEXT(ROW()-1,"0000"))</f>
        <v/>
      </c>
      <c r="B230" s="2" t="n"/>
      <c r="D230" s="3" t="n"/>
      <c r="J230" s="2" t="n"/>
      <c r="K230" s="2" t="n"/>
      <c r="N230" s="4" t="n"/>
      <c r="V230">
        <f>IF(H230="",0,IFERROR(MATCH(H230,'רשימות'!$A$2:$A$13,0),0))</f>
        <v/>
      </c>
    </row>
    <row r="231">
      <c r="A231">
        <f>IF(C231="","","L-"&amp;TEXT(ROW()-1,"0000"))</f>
        <v/>
      </c>
      <c r="B231" s="2" t="n"/>
      <c r="D231" s="3" t="n"/>
      <c r="J231" s="2" t="n"/>
      <c r="K231" s="2" t="n"/>
      <c r="N231" s="4" t="n"/>
      <c r="V231">
        <f>IF(H231="",0,IFERROR(MATCH(H231,'רשימות'!$A$2:$A$13,0),0))</f>
        <v/>
      </c>
    </row>
    <row r="232">
      <c r="A232">
        <f>IF(C232="","","L-"&amp;TEXT(ROW()-1,"0000"))</f>
        <v/>
      </c>
      <c r="B232" s="2" t="n"/>
      <c r="D232" s="3" t="n"/>
      <c r="J232" s="2" t="n"/>
      <c r="K232" s="2" t="n"/>
      <c r="N232" s="4" t="n"/>
      <c r="V232">
        <f>IF(H232="",0,IFERROR(MATCH(H232,'רשימות'!$A$2:$A$13,0),0))</f>
        <v/>
      </c>
    </row>
    <row r="233">
      <c r="A233">
        <f>IF(C233="","","L-"&amp;TEXT(ROW()-1,"0000"))</f>
        <v/>
      </c>
      <c r="B233" s="2" t="n"/>
      <c r="D233" s="3" t="n"/>
      <c r="J233" s="2" t="n"/>
      <c r="K233" s="2" t="n"/>
      <c r="N233" s="4" t="n"/>
      <c r="V233">
        <f>IF(H233="",0,IFERROR(MATCH(H233,'רשימות'!$A$2:$A$13,0),0))</f>
        <v/>
      </c>
    </row>
    <row r="234">
      <c r="A234">
        <f>IF(C234="","","L-"&amp;TEXT(ROW()-1,"0000"))</f>
        <v/>
      </c>
      <c r="B234" s="2" t="n"/>
      <c r="D234" s="3" t="n"/>
      <c r="J234" s="2" t="n"/>
      <c r="K234" s="2" t="n"/>
      <c r="N234" s="4" t="n"/>
      <c r="V234">
        <f>IF(H234="",0,IFERROR(MATCH(H234,'רשימות'!$A$2:$A$13,0),0))</f>
        <v/>
      </c>
    </row>
    <row r="235">
      <c r="A235">
        <f>IF(C235="","","L-"&amp;TEXT(ROW()-1,"0000"))</f>
        <v/>
      </c>
      <c r="B235" s="2" t="n"/>
      <c r="D235" s="3" t="n"/>
      <c r="J235" s="2" t="n"/>
      <c r="K235" s="2" t="n"/>
      <c r="N235" s="4" t="n"/>
      <c r="V235">
        <f>IF(H235="",0,IFERROR(MATCH(H235,'רשימות'!$A$2:$A$13,0),0))</f>
        <v/>
      </c>
    </row>
    <row r="236">
      <c r="A236">
        <f>IF(C236="","","L-"&amp;TEXT(ROW()-1,"0000"))</f>
        <v/>
      </c>
      <c r="B236" s="2" t="n"/>
      <c r="D236" s="3" t="n"/>
      <c r="J236" s="2" t="n"/>
      <c r="K236" s="2" t="n"/>
      <c r="N236" s="4" t="n"/>
      <c r="V236">
        <f>IF(H236="",0,IFERROR(MATCH(H236,'רשימות'!$A$2:$A$13,0),0))</f>
        <v/>
      </c>
    </row>
    <row r="237">
      <c r="A237">
        <f>IF(C237="","","L-"&amp;TEXT(ROW()-1,"0000"))</f>
        <v/>
      </c>
      <c r="B237" s="2" t="n"/>
      <c r="D237" s="3" t="n"/>
      <c r="J237" s="2" t="n"/>
      <c r="K237" s="2" t="n"/>
      <c r="N237" s="4" t="n"/>
      <c r="V237">
        <f>IF(H237="",0,IFERROR(MATCH(H237,'רשימות'!$A$2:$A$13,0),0))</f>
        <v/>
      </c>
    </row>
    <row r="238">
      <c r="A238">
        <f>IF(C238="","","L-"&amp;TEXT(ROW()-1,"0000"))</f>
        <v/>
      </c>
      <c r="B238" s="2" t="n"/>
      <c r="D238" s="3" t="n"/>
      <c r="J238" s="2" t="n"/>
      <c r="K238" s="2" t="n"/>
      <c r="N238" s="4" t="n"/>
      <c r="V238">
        <f>IF(H238="",0,IFERROR(MATCH(H238,'רשימות'!$A$2:$A$13,0),0))</f>
        <v/>
      </c>
    </row>
    <row r="239">
      <c r="A239">
        <f>IF(C239="","","L-"&amp;TEXT(ROW()-1,"0000"))</f>
        <v/>
      </c>
      <c r="B239" s="2" t="n"/>
      <c r="D239" s="3" t="n"/>
      <c r="J239" s="2" t="n"/>
      <c r="K239" s="2" t="n"/>
      <c r="N239" s="4" t="n"/>
      <c r="V239">
        <f>IF(H239="",0,IFERROR(MATCH(H239,'רשימות'!$A$2:$A$13,0),0))</f>
        <v/>
      </c>
    </row>
    <row r="240">
      <c r="A240">
        <f>IF(C240="","","L-"&amp;TEXT(ROW()-1,"0000"))</f>
        <v/>
      </c>
      <c r="B240" s="2" t="n"/>
      <c r="D240" s="3" t="n"/>
      <c r="J240" s="2" t="n"/>
      <c r="K240" s="2" t="n"/>
      <c r="N240" s="4" t="n"/>
      <c r="V240">
        <f>IF(H240="",0,IFERROR(MATCH(H240,'רשימות'!$A$2:$A$13,0),0))</f>
        <v/>
      </c>
    </row>
    <row r="241">
      <c r="A241">
        <f>IF(C241="","","L-"&amp;TEXT(ROW()-1,"0000"))</f>
        <v/>
      </c>
      <c r="B241" s="2" t="n"/>
      <c r="D241" s="3" t="n"/>
      <c r="J241" s="2" t="n"/>
      <c r="K241" s="2" t="n"/>
      <c r="N241" s="4" t="n"/>
      <c r="V241">
        <f>IF(H241="",0,IFERROR(MATCH(H241,'רשימות'!$A$2:$A$13,0),0))</f>
        <v/>
      </c>
    </row>
    <row r="242">
      <c r="A242">
        <f>IF(C242="","","L-"&amp;TEXT(ROW()-1,"0000"))</f>
        <v/>
      </c>
      <c r="B242" s="2" t="n"/>
      <c r="D242" s="3" t="n"/>
      <c r="J242" s="2" t="n"/>
      <c r="K242" s="2" t="n"/>
      <c r="N242" s="4" t="n"/>
      <c r="V242">
        <f>IF(H242="",0,IFERROR(MATCH(H242,'רשימות'!$A$2:$A$13,0),0))</f>
        <v/>
      </c>
    </row>
    <row r="243">
      <c r="A243">
        <f>IF(C243="","","L-"&amp;TEXT(ROW()-1,"0000"))</f>
        <v/>
      </c>
      <c r="B243" s="2" t="n"/>
      <c r="D243" s="3" t="n"/>
      <c r="J243" s="2" t="n"/>
      <c r="K243" s="2" t="n"/>
      <c r="N243" s="4" t="n"/>
      <c r="V243">
        <f>IF(H243="",0,IFERROR(MATCH(H243,'רשימות'!$A$2:$A$13,0),0))</f>
        <v/>
      </c>
    </row>
    <row r="244">
      <c r="A244">
        <f>IF(C244="","","L-"&amp;TEXT(ROW()-1,"0000"))</f>
        <v/>
      </c>
      <c r="B244" s="2" t="n"/>
      <c r="D244" s="3" t="n"/>
      <c r="J244" s="2" t="n"/>
      <c r="K244" s="2" t="n"/>
      <c r="N244" s="4" t="n"/>
      <c r="V244">
        <f>IF(H244="",0,IFERROR(MATCH(H244,'רשימות'!$A$2:$A$13,0),0))</f>
        <v/>
      </c>
    </row>
    <row r="245">
      <c r="A245">
        <f>IF(C245="","","L-"&amp;TEXT(ROW()-1,"0000"))</f>
        <v/>
      </c>
      <c r="B245" s="2" t="n"/>
      <c r="D245" s="3" t="n"/>
      <c r="J245" s="2" t="n"/>
      <c r="K245" s="2" t="n"/>
      <c r="N245" s="4" t="n"/>
      <c r="V245">
        <f>IF(H245="",0,IFERROR(MATCH(H245,'רשימות'!$A$2:$A$13,0),0))</f>
        <v/>
      </c>
    </row>
    <row r="246">
      <c r="A246">
        <f>IF(C246="","","L-"&amp;TEXT(ROW()-1,"0000"))</f>
        <v/>
      </c>
      <c r="B246" s="2" t="n"/>
      <c r="D246" s="3" t="n"/>
      <c r="J246" s="2" t="n"/>
      <c r="K246" s="2" t="n"/>
      <c r="N246" s="4" t="n"/>
      <c r="V246">
        <f>IF(H246="",0,IFERROR(MATCH(H246,'רשימות'!$A$2:$A$13,0),0))</f>
        <v/>
      </c>
    </row>
    <row r="247">
      <c r="A247">
        <f>IF(C247="","","L-"&amp;TEXT(ROW()-1,"0000"))</f>
        <v/>
      </c>
      <c r="B247" s="2" t="n"/>
      <c r="D247" s="3" t="n"/>
      <c r="J247" s="2" t="n"/>
      <c r="K247" s="2" t="n"/>
      <c r="N247" s="4" t="n"/>
      <c r="V247">
        <f>IF(H247="",0,IFERROR(MATCH(H247,'רשימות'!$A$2:$A$13,0),0))</f>
        <v/>
      </c>
    </row>
    <row r="248">
      <c r="A248">
        <f>IF(C248="","","L-"&amp;TEXT(ROW()-1,"0000"))</f>
        <v/>
      </c>
      <c r="B248" s="2" t="n"/>
      <c r="D248" s="3" t="n"/>
      <c r="J248" s="2" t="n"/>
      <c r="K248" s="2" t="n"/>
      <c r="N248" s="4" t="n"/>
      <c r="V248">
        <f>IF(H248="",0,IFERROR(MATCH(H248,'רשימות'!$A$2:$A$13,0),0))</f>
        <v/>
      </c>
    </row>
    <row r="249">
      <c r="A249">
        <f>IF(C249="","","L-"&amp;TEXT(ROW()-1,"0000"))</f>
        <v/>
      </c>
      <c r="B249" s="2" t="n"/>
      <c r="D249" s="3" t="n"/>
      <c r="J249" s="2" t="n"/>
      <c r="K249" s="2" t="n"/>
      <c r="N249" s="4" t="n"/>
      <c r="V249">
        <f>IF(H249="",0,IFERROR(MATCH(H249,'רשימות'!$A$2:$A$13,0),0))</f>
        <v/>
      </c>
    </row>
    <row r="250">
      <c r="A250">
        <f>IF(C250="","","L-"&amp;TEXT(ROW()-1,"0000"))</f>
        <v/>
      </c>
      <c r="B250" s="2" t="n"/>
      <c r="D250" s="3" t="n"/>
      <c r="J250" s="2" t="n"/>
      <c r="K250" s="2" t="n"/>
      <c r="N250" s="4" t="n"/>
      <c r="V250">
        <f>IF(H250="",0,IFERROR(MATCH(H250,'רשימות'!$A$2:$A$13,0),0))</f>
        <v/>
      </c>
    </row>
    <row r="251">
      <c r="A251">
        <f>IF(C251="","","L-"&amp;TEXT(ROW()-1,"0000"))</f>
        <v/>
      </c>
      <c r="B251" s="2" t="n"/>
      <c r="D251" s="3" t="n"/>
      <c r="J251" s="2" t="n"/>
      <c r="K251" s="2" t="n"/>
      <c r="N251" s="4" t="n"/>
      <c r="V251">
        <f>IF(H251="",0,IFERROR(MATCH(H251,'רשימות'!$A$2:$A$13,0),0))</f>
        <v/>
      </c>
    </row>
    <row r="252">
      <c r="A252">
        <f>IF(C252="","","L-"&amp;TEXT(ROW()-1,"0000"))</f>
        <v/>
      </c>
      <c r="B252" s="2" t="n"/>
      <c r="D252" s="3" t="n"/>
      <c r="J252" s="2" t="n"/>
      <c r="K252" s="2" t="n"/>
      <c r="N252" s="4" t="n"/>
      <c r="V252">
        <f>IF(H252="",0,IFERROR(MATCH(H252,'רשימות'!$A$2:$A$13,0),0))</f>
        <v/>
      </c>
    </row>
    <row r="253">
      <c r="A253">
        <f>IF(C253="","","L-"&amp;TEXT(ROW()-1,"0000"))</f>
        <v/>
      </c>
      <c r="B253" s="2" t="n"/>
      <c r="D253" s="3" t="n"/>
      <c r="J253" s="2" t="n"/>
      <c r="K253" s="2" t="n"/>
      <c r="N253" s="4" t="n"/>
      <c r="V253">
        <f>IF(H253="",0,IFERROR(MATCH(H253,'רשימות'!$A$2:$A$13,0),0))</f>
        <v/>
      </c>
    </row>
    <row r="254">
      <c r="A254">
        <f>IF(C254="","","L-"&amp;TEXT(ROW()-1,"0000"))</f>
        <v/>
      </c>
      <c r="B254" s="2" t="n"/>
      <c r="D254" s="3" t="n"/>
      <c r="J254" s="2" t="n"/>
      <c r="K254" s="2" t="n"/>
      <c r="N254" s="4" t="n"/>
      <c r="V254">
        <f>IF(H254="",0,IFERROR(MATCH(H254,'רשימות'!$A$2:$A$13,0),0))</f>
        <v/>
      </c>
    </row>
    <row r="255">
      <c r="A255">
        <f>IF(C255="","","L-"&amp;TEXT(ROW()-1,"0000"))</f>
        <v/>
      </c>
      <c r="B255" s="2" t="n"/>
      <c r="D255" s="3" t="n"/>
      <c r="J255" s="2" t="n"/>
      <c r="K255" s="2" t="n"/>
      <c r="N255" s="4" t="n"/>
      <c r="V255">
        <f>IF(H255="",0,IFERROR(MATCH(H255,'רשימות'!$A$2:$A$13,0),0))</f>
        <v/>
      </c>
    </row>
    <row r="256">
      <c r="A256">
        <f>IF(C256="","","L-"&amp;TEXT(ROW()-1,"0000"))</f>
        <v/>
      </c>
      <c r="B256" s="2" t="n"/>
      <c r="D256" s="3" t="n"/>
      <c r="J256" s="2" t="n"/>
      <c r="K256" s="2" t="n"/>
      <c r="N256" s="4" t="n"/>
      <c r="V256">
        <f>IF(H256="",0,IFERROR(MATCH(H256,'רשימות'!$A$2:$A$13,0),0))</f>
        <v/>
      </c>
    </row>
    <row r="257">
      <c r="A257">
        <f>IF(C257="","","L-"&amp;TEXT(ROW()-1,"0000"))</f>
        <v/>
      </c>
      <c r="B257" s="2" t="n"/>
      <c r="D257" s="3" t="n"/>
      <c r="J257" s="2" t="n"/>
      <c r="K257" s="2" t="n"/>
      <c r="N257" s="4" t="n"/>
      <c r="V257">
        <f>IF(H257="",0,IFERROR(MATCH(H257,'רשימות'!$A$2:$A$13,0),0))</f>
        <v/>
      </c>
    </row>
    <row r="258">
      <c r="A258">
        <f>IF(C258="","","L-"&amp;TEXT(ROW()-1,"0000"))</f>
        <v/>
      </c>
      <c r="B258" s="2" t="n"/>
      <c r="D258" s="3" t="n"/>
      <c r="J258" s="2" t="n"/>
      <c r="K258" s="2" t="n"/>
      <c r="N258" s="4" t="n"/>
      <c r="V258">
        <f>IF(H258="",0,IFERROR(MATCH(H258,'רשימות'!$A$2:$A$13,0),0))</f>
        <v/>
      </c>
    </row>
    <row r="259">
      <c r="A259">
        <f>IF(C259="","","L-"&amp;TEXT(ROW()-1,"0000"))</f>
        <v/>
      </c>
      <c r="B259" s="2" t="n"/>
      <c r="D259" s="3" t="n"/>
      <c r="J259" s="2" t="n"/>
      <c r="K259" s="2" t="n"/>
      <c r="N259" s="4" t="n"/>
      <c r="V259">
        <f>IF(H259="",0,IFERROR(MATCH(H259,'רשימות'!$A$2:$A$13,0),0))</f>
        <v/>
      </c>
    </row>
    <row r="260">
      <c r="A260">
        <f>IF(C260="","","L-"&amp;TEXT(ROW()-1,"0000"))</f>
        <v/>
      </c>
      <c r="B260" s="2" t="n"/>
      <c r="D260" s="3" t="n"/>
      <c r="J260" s="2" t="n"/>
      <c r="K260" s="2" t="n"/>
      <c r="N260" s="4" t="n"/>
      <c r="V260">
        <f>IF(H260="",0,IFERROR(MATCH(H260,'רשימות'!$A$2:$A$13,0),0))</f>
        <v/>
      </c>
    </row>
    <row r="261">
      <c r="A261">
        <f>IF(C261="","","L-"&amp;TEXT(ROW()-1,"0000"))</f>
        <v/>
      </c>
      <c r="B261" s="2" t="n"/>
      <c r="D261" s="3" t="n"/>
      <c r="J261" s="2" t="n"/>
      <c r="K261" s="2" t="n"/>
      <c r="N261" s="4" t="n"/>
      <c r="V261">
        <f>IF(H261="",0,IFERROR(MATCH(H261,'רשימות'!$A$2:$A$13,0),0))</f>
        <v/>
      </c>
    </row>
    <row r="262">
      <c r="A262">
        <f>IF(C262="","","L-"&amp;TEXT(ROW()-1,"0000"))</f>
        <v/>
      </c>
      <c r="B262" s="2" t="n"/>
      <c r="D262" s="3" t="n"/>
      <c r="J262" s="2" t="n"/>
      <c r="K262" s="2" t="n"/>
      <c r="N262" s="4" t="n"/>
      <c r="V262">
        <f>IF(H262="",0,IFERROR(MATCH(H262,'רשימות'!$A$2:$A$13,0),0))</f>
        <v/>
      </c>
    </row>
    <row r="263">
      <c r="A263">
        <f>IF(C263="","","L-"&amp;TEXT(ROW()-1,"0000"))</f>
        <v/>
      </c>
      <c r="B263" s="2" t="n"/>
      <c r="D263" s="3" t="n"/>
      <c r="J263" s="2" t="n"/>
      <c r="K263" s="2" t="n"/>
      <c r="N263" s="4" t="n"/>
      <c r="V263">
        <f>IF(H263="",0,IFERROR(MATCH(H263,'רשימות'!$A$2:$A$13,0),0))</f>
        <v/>
      </c>
    </row>
    <row r="264">
      <c r="A264">
        <f>IF(C264="","","L-"&amp;TEXT(ROW()-1,"0000"))</f>
        <v/>
      </c>
      <c r="B264" s="2" t="n"/>
      <c r="D264" s="3" t="n"/>
      <c r="J264" s="2" t="n"/>
      <c r="K264" s="2" t="n"/>
      <c r="N264" s="4" t="n"/>
      <c r="V264">
        <f>IF(H264="",0,IFERROR(MATCH(H264,'רשימות'!$A$2:$A$13,0),0))</f>
        <v/>
      </c>
    </row>
    <row r="265">
      <c r="A265">
        <f>IF(C265="","","L-"&amp;TEXT(ROW()-1,"0000"))</f>
        <v/>
      </c>
      <c r="B265" s="2" t="n"/>
      <c r="D265" s="3" t="n"/>
      <c r="J265" s="2" t="n"/>
      <c r="K265" s="2" t="n"/>
      <c r="N265" s="4" t="n"/>
      <c r="V265">
        <f>IF(H265="",0,IFERROR(MATCH(H265,'רשימות'!$A$2:$A$13,0),0))</f>
        <v/>
      </c>
    </row>
    <row r="266">
      <c r="A266">
        <f>IF(C266="","","L-"&amp;TEXT(ROW()-1,"0000"))</f>
        <v/>
      </c>
      <c r="B266" s="2" t="n"/>
      <c r="D266" s="3" t="n"/>
      <c r="J266" s="2" t="n"/>
      <c r="K266" s="2" t="n"/>
      <c r="N266" s="4" t="n"/>
      <c r="V266">
        <f>IF(H266="",0,IFERROR(MATCH(H266,'רשימות'!$A$2:$A$13,0),0))</f>
        <v/>
      </c>
    </row>
    <row r="267">
      <c r="A267">
        <f>IF(C267="","","L-"&amp;TEXT(ROW()-1,"0000"))</f>
        <v/>
      </c>
      <c r="B267" s="2" t="n"/>
      <c r="D267" s="3" t="n"/>
      <c r="J267" s="2" t="n"/>
      <c r="K267" s="2" t="n"/>
      <c r="N267" s="4" t="n"/>
      <c r="V267">
        <f>IF(H267="",0,IFERROR(MATCH(H267,'רשימות'!$A$2:$A$13,0),0))</f>
        <v/>
      </c>
    </row>
    <row r="268">
      <c r="A268">
        <f>IF(C268="","","L-"&amp;TEXT(ROW()-1,"0000"))</f>
        <v/>
      </c>
      <c r="B268" s="2" t="n"/>
      <c r="D268" s="3" t="n"/>
      <c r="J268" s="2" t="n"/>
      <c r="K268" s="2" t="n"/>
      <c r="N268" s="4" t="n"/>
      <c r="V268">
        <f>IF(H268="",0,IFERROR(MATCH(H268,'רשימות'!$A$2:$A$13,0),0))</f>
        <v/>
      </c>
    </row>
    <row r="269">
      <c r="A269">
        <f>IF(C269="","","L-"&amp;TEXT(ROW()-1,"0000"))</f>
        <v/>
      </c>
      <c r="B269" s="2" t="n"/>
      <c r="D269" s="3" t="n"/>
      <c r="J269" s="2" t="n"/>
      <c r="K269" s="2" t="n"/>
      <c r="N269" s="4" t="n"/>
      <c r="V269">
        <f>IF(H269="",0,IFERROR(MATCH(H269,'רשימות'!$A$2:$A$13,0),0))</f>
        <v/>
      </c>
    </row>
    <row r="270">
      <c r="A270">
        <f>IF(C270="","","L-"&amp;TEXT(ROW()-1,"0000"))</f>
        <v/>
      </c>
      <c r="B270" s="2" t="n"/>
      <c r="D270" s="3" t="n"/>
      <c r="J270" s="2" t="n"/>
      <c r="K270" s="2" t="n"/>
      <c r="N270" s="4" t="n"/>
      <c r="V270">
        <f>IF(H270="",0,IFERROR(MATCH(H270,'רשימות'!$A$2:$A$13,0),0))</f>
        <v/>
      </c>
    </row>
    <row r="271">
      <c r="A271">
        <f>IF(C271="","","L-"&amp;TEXT(ROW()-1,"0000"))</f>
        <v/>
      </c>
      <c r="B271" s="2" t="n"/>
      <c r="D271" s="3" t="n"/>
      <c r="J271" s="2" t="n"/>
      <c r="K271" s="2" t="n"/>
      <c r="N271" s="4" t="n"/>
      <c r="V271">
        <f>IF(H271="",0,IFERROR(MATCH(H271,'רשימות'!$A$2:$A$13,0),0))</f>
        <v/>
      </c>
    </row>
    <row r="272">
      <c r="A272">
        <f>IF(C272="","","L-"&amp;TEXT(ROW()-1,"0000"))</f>
        <v/>
      </c>
      <c r="B272" s="2" t="n"/>
      <c r="D272" s="3" t="n"/>
      <c r="J272" s="2" t="n"/>
      <c r="K272" s="2" t="n"/>
      <c r="N272" s="4" t="n"/>
      <c r="V272">
        <f>IF(H272="",0,IFERROR(MATCH(H272,'רשימות'!$A$2:$A$13,0),0))</f>
        <v/>
      </c>
    </row>
    <row r="273">
      <c r="A273">
        <f>IF(C273="","","L-"&amp;TEXT(ROW()-1,"0000"))</f>
        <v/>
      </c>
      <c r="B273" s="2" t="n"/>
      <c r="D273" s="3" t="n"/>
      <c r="J273" s="2" t="n"/>
      <c r="K273" s="2" t="n"/>
      <c r="N273" s="4" t="n"/>
      <c r="V273">
        <f>IF(H273="",0,IFERROR(MATCH(H273,'רשימות'!$A$2:$A$13,0),0))</f>
        <v/>
      </c>
    </row>
    <row r="274">
      <c r="A274">
        <f>IF(C274="","","L-"&amp;TEXT(ROW()-1,"0000"))</f>
        <v/>
      </c>
      <c r="B274" s="2" t="n"/>
      <c r="D274" s="3" t="n"/>
      <c r="J274" s="2" t="n"/>
      <c r="K274" s="2" t="n"/>
      <c r="N274" s="4" t="n"/>
      <c r="V274">
        <f>IF(H274="",0,IFERROR(MATCH(H274,'רשימות'!$A$2:$A$13,0),0))</f>
        <v/>
      </c>
    </row>
    <row r="275">
      <c r="A275">
        <f>IF(C275="","","L-"&amp;TEXT(ROW()-1,"0000"))</f>
        <v/>
      </c>
      <c r="B275" s="2" t="n"/>
      <c r="D275" s="3" t="n"/>
      <c r="J275" s="2" t="n"/>
      <c r="K275" s="2" t="n"/>
      <c r="N275" s="4" t="n"/>
      <c r="V275">
        <f>IF(H275="",0,IFERROR(MATCH(H275,'רשימות'!$A$2:$A$13,0),0))</f>
        <v/>
      </c>
    </row>
    <row r="276">
      <c r="A276">
        <f>IF(C276="","","L-"&amp;TEXT(ROW()-1,"0000"))</f>
        <v/>
      </c>
      <c r="B276" s="2" t="n"/>
      <c r="D276" s="3" t="n"/>
      <c r="J276" s="2" t="n"/>
      <c r="K276" s="2" t="n"/>
      <c r="N276" s="4" t="n"/>
      <c r="V276">
        <f>IF(H276="",0,IFERROR(MATCH(H276,'רשימות'!$A$2:$A$13,0),0))</f>
        <v/>
      </c>
    </row>
    <row r="277">
      <c r="A277">
        <f>IF(C277="","","L-"&amp;TEXT(ROW()-1,"0000"))</f>
        <v/>
      </c>
      <c r="B277" s="2" t="n"/>
      <c r="D277" s="3" t="n"/>
      <c r="J277" s="2" t="n"/>
      <c r="K277" s="2" t="n"/>
      <c r="N277" s="4" t="n"/>
      <c r="V277">
        <f>IF(H277="",0,IFERROR(MATCH(H277,'רשימות'!$A$2:$A$13,0),0))</f>
        <v/>
      </c>
    </row>
    <row r="278">
      <c r="A278">
        <f>IF(C278="","","L-"&amp;TEXT(ROW()-1,"0000"))</f>
        <v/>
      </c>
      <c r="B278" s="2" t="n"/>
      <c r="D278" s="3" t="n"/>
      <c r="J278" s="2" t="n"/>
      <c r="K278" s="2" t="n"/>
      <c r="N278" s="4" t="n"/>
      <c r="V278">
        <f>IF(H278="",0,IFERROR(MATCH(H278,'רשימות'!$A$2:$A$13,0),0))</f>
        <v/>
      </c>
    </row>
    <row r="279">
      <c r="A279">
        <f>IF(C279="","","L-"&amp;TEXT(ROW()-1,"0000"))</f>
        <v/>
      </c>
      <c r="B279" s="2" t="n"/>
      <c r="D279" s="3" t="n"/>
      <c r="J279" s="2" t="n"/>
      <c r="K279" s="2" t="n"/>
      <c r="N279" s="4" t="n"/>
      <c r="V279">
        <f>IF(H279="",0,IFERROR(MATCH(H279,'רשימות'!$A$2:$A$13,0),0))</f>
        <v/>
      </c>
    </row>
    <row r="280">
      <c r="A280">
        <f>IF(C280="","","L-"&amp;TEXT(ROW()-1,"0000"))</f>
        <v/>
      </c>
      <c r="B280" s="2" t="n"/>
      <c r="D280" s="3" t="n"/>
      <c r="J280" s="2" t="n"/>
      <c r="K280" s="2" t="n"/>
      <c r="N280" s="4" t="n"/>
      <c r="V280">
        <f>IF(H280="",0,IFERROR(MATCH(H280,'רשימות'!$A$2:$A$13,0),0))</f>
        <v/>
      </c>
    </row>
    <row r="281">
      <c r="A281">
        <f>IF(C281="","","L-"&amp;TEXT(ROW()-1,"0000"))</f>
        <v/>
      </c>
      <c r="B281" s="2" t="n"/>
      <c r="D281" s="3" t="n"/>
      <c r="J281" s="2" t="n"/>
      <c r="K281" s="2" t="n"/>
      <c r="N281" s="4" t="n"/>
      <c r="V281">
        <f>IF(H281="",0,IFERROR(MATCH(H281,'רשימות'!$A$2:$A$13,0),0))</f>
        <v/>
      </c>
    </row>
    <row r="282">
      <c r="A282">
        <f>IF(C282="","","L-"&amp;TEXT(ROW()-1,"0000"))</f>
        <v/>
      </c>
      <c r="B282" s="2" t="n"/>
      <c r="D282" s="3" t="n"/>
      <c r="J282" s="2" t="n"/>
      <c r="K282" s="2" t="n"/>
      <c r="N282" s="4" t="n"/>
      <c r="V282">
        <f>IF(H282="",0,IFERROR(MATCH(H282,'רשימות'!$A$2:$A$13,0),0))</f>
        <v/>
      </c>
    </row>
    <row r="283">
      <c r="A283">
        <f>IF(C283="","","L-"&amp;TEXT(ROW()-1,"0000"))</f>
        <v/>
      </c>
      <c r="B283" s="2" t="n"/>
      <c r="D283" s="3" t="n"/>
      <c r="J283" s="2" t="n"/>
      <c r="K283" s="2" t="n"/>
      <c r="N283" s="4" t="n"/>
      <c r="V283">
        <f>IF(H283="",0,IFERROR(MATCH(H283,'רשימות'!$A$2:$A$13,0),0))</f>
        <v/>
      </c>
    </row>
    <row r="284">
      <c r="A284">
        <f>IF(C284="","","L-"&amp;TEXT(ROW()-1,"0000"))</f>
        <v/>
      </c>
      <c r="B284" s="2" t="n"/>
      <c r="D284" s="3" t="n"/>
      <c r="J284" s="2" t="n"/>
      <c r="K284" s="2" t="n"/>
      <c r="N284" s="4" t="n"/>
      <c r="V284">
        <f>IF(H284="",0,IFERROR(MATCH(H284,'רשימות'!$A$2:$A$13,0),0))</f>
        <v/>
      </c>
    </row>
    <row r="285">
      <c r="A285">
        <f>IF(C285="","","L-"&amp;TEXT(ROW()-1,"0000"))</f>
        <v/>
      </c>
      <c r="B285" s="2" t="n"/>
      <c r="D285" s="3" t="n"/>
      <c r="J285" s="2" t="n"/>
      <c r="K285" s="2" t="n"/>
      <c r="N285" s="4" t="n"/>
      <c r="V285">
        <f>IF(H285="",0,IFERROR(MATCH(H285,'רשימות'!$A$2:$A$13,0),0))</f>
        <v/>
      </c>
    </row>
    <row r="286">
      <c r="A286">
        <f>IF(C286="","","L-"&amp;TEXT(ROW()-1,"0000"))</f>
        <v/>
      </c>
      <c r="B286" s="2" t="n"/>
      <c r="D286" s="3" t="n"/>
      <c r="J286" s="2" t="n"/>
      <c r="K286" s="2" t="n"/>
      <c r="N286" s="4" t="n"/>
      <c r="V286">
        <f>IF(H286="",0,IFERROR(MATCH(H286,'רשימות'!$A$2:$A$13,0),0))</f>
        <v/>
      </c>
    </row>
    <row r="287">
      <c r="A287">
        <f>IF(C287="","","L-"&amp;TEXT(ROW()-1,"0000"))</f>
        <v/>
      </c>
      <c r="B287" s="2" t="n"/>
      <c r="D287" s="3" t="n"/>
      <c r="J287" s="2" t="n"/>
      <c r="K287" s="2" t="n"/>
      <c r="N287" s="4" t="n"/>
      <c r="V287">
        <f>IF(H287="",0,IFERROR(MATCH(H287,'רשימות'!$A$2:$A$13,0),0))</f>
        <v/>
      </c>
    </row>
    <row r="288">
      <c r="A288">
        <f>IF(C288="","","L-"&amp;TEXT(ROW()-1,"0000"))</f>
        <v/>
      </c>
      <c r="B288" s="2" t="n"/>
      <c r="D288" s="3" t="n"/>
      <c r="J288" s="2" t="n"/>
      <c r="K288" s="2" t="n"/>
      <c r="N288" s="4" t="n"/>
      <c r="V288">
        <f>IF(H288="",0,IFERROR(MATCH(H288,'רשימות'!$A$2:$A$13,0),0))</f>
        <v/>
      </c>
    </row>
    <row r="289">
      <c r="A289">
        <f>IF(C289="","","L-"&amp;TEXT(ROW()-1,"0000"))</f>
        <v/>
      </c>
      <c r="B289" s="2" t="n"/>
      <c r="D289" s="3" t="n"/>
      <c r="J289" s="2" t="n"/>
      <c r="K289" s="2" t="n"/>
      <c r="N289" s="4" t="n"/>
      <c r="V289">
        <f>IF(H289="",0,IFERROR(MATCH(H289,'רשימות'!$A$2:$A$13,0),0))</f>
        <v/>
      </c>
    </row>
    <row r="290">
      <c r="A290">
        <f>IF(C290="","","L-"&amp;TEXT(ROW()-1,"0000"))</f>
        <v/>
      </c>
      <c r="B290" s="2" t="n"/>
      <c r="D290" s="3" t="n"/>
      <c r="J290" s="2" t="n"/>
      <c r="K290" s="2" t="n"/>
      <c r="N290" s="4" t="n"/>
      <c r="V290">
        <f>IF(H290="",0,IFERROR(MATCH(H290,'רשימות'!$A$2:$A$13,0),0))</f>
        <v/>
      </c>
    </row>
    <row r="291">
      <c r="A291">
        <f>IF(C291="","","L-"&amp;TEXT(ROW()-1,"0000"))</f>
        <v/>
      </c>
      <c r="B291" s="2" t="n"/>
      <c r="D291" s="3" t="n"/>
      <c r="J291" s="2" t="n"/>
      <c r="K291" s="2" t="n"/>
      <c r="N291" s="4" t="n"/>
      <c r="V291">
        <f>IF(H291="",0,IFERROR(MATCH(H291,'רשימות'!$A$2:$A$13,0),0))</f>
        <v/>
      </c>
    </row>
    <row r="292">
      <c r="A292">
        <f>IF(C292="","","L-"&amp;TEXT(ROW()-1,"0000"))</f>
        <v/>
      </c>
      <c r="B292" s="2" t="n"/>
      <c r="D292" s="3" t="n"/>
      <c r="J292" s="2" t="n"/>
      <c r="K292" s="2" t="n"/>
      <c r="N292" s="4" t="n"/>
      <c r="V292">
        <f>IF(H292="",0,IFERROR(MATCH(H292,'רשימות'!$A$2:$A$13,0),0))</f>
        <v/>
      </c>
    </row>
    <row r="293">
      <c r="A293">
        <f>IF(C293="","","L-"&amp;TEXT(ROW()-1,"0000"))</f>
        <v/>
      </c>
      <c r="B293" s="2" t="n"/>
      <c r="D293" s="3" t="n"/>
      <c r="J293" s="2" t="n"/>
      <c r="K293" s="2" t="n"/>
      <c r="N293" s="4" t="n"/>
      <c r="V293">
        <f>IF(H293="",0,IFERROR(MATCH(H293,'רשימות'!$A$2:$A$13,0),0))</f>
        <v/>
      </c>
    </row>
    <row r="294">
      <c r="A294">
        <f>IF(C294="","","L-"&amp;TEXT(ROW()-1,"0000"))</f>
        <v/>
      </c>
      <c r="B294" s="2" t="n"/>
      <c r="D294" s="3" t="n"/>
      <c r="J294" s="2" t="n"/>
      <c r="K294" s="2" t="n"/>
      <c r="N294" s="4" t="n"/>
      <c r="V294">
        <f>IF(H294="",0,IFERROR(MATCH(H294,'רשימות'!$A$2:$A$13,0),0))</f>
        <v/>
      </c>
    </row>
    <row r="295">
      <c r="A295">
        <f>IF(C295="","","L-"&amp;TEXT(ROW()-1,"0000"))</f>
        <v/>
      </c>
      <c r="B295" s="2" t="n"/>
      <c r="D295" s="3" t="n"/>
      <c r="J295" s="2" t="n"/>
      <c r="K295" s="2" t="n"/>
      <c r="N295" s="4" t="n"/>
      <c r="V295">
        <f>IF(H295="",0,IFERROR(MATCH(H295,'רשימות'!$A$2:$A$13,0),0))</f>
        <v/>
      </c>
    </row>
    <row r="296">
      <c r="A296">
        <f>IF(C296="","","L-"&amp;TEXT(ROW()-1,"0000"))</f>
        <v/>
      </c>
      <c r="B296" s="2" t="n"/>
      <c r="D296" s="3" t="n"/>
      <c r="J296" s="2" t="n"/>
      <c r="K296" s="2" t="n"/>
      <c r="N296" s="4" t="n"/>
      <c r="V296">
        <f>IF(H296="",0,IFERROR(MATCH(H296,'רשימות'!$A$2:$A$13,0),0))</f>
        <v/>
      </c>
    </row>
    <row r="297">
      <c r="A297">
        <f>IF(C297="","","L-"&amp;TEXT(ROW()-1,"0000"))</f>
        <v/>
      </c>
      <c r="B297" s="2" t="n"/>
      <c r="D297" s="3" t="n"/>
      <c r="J297" s="2" t="n"/>
      <c r="K297" s="2" t="n"/>
      <c r="N297" s="4" t="n"/>
      <c r="V297">
        <f>IF(H297="",0,IFERROR(MATCH(H297,'רשימות'!$A$2:$A$13,0),0))</f>
        <v/>
      </c>
    </row>
    <row r="298">
      <c r="A298">
        <f>IF(C298="","","L-"&amp;TEXT(ROW()-1,"0000"))</f>
        <v/>
      </c>
      <c r="B298" s="2" t="n"/>
      <c r="D298" s="3" t="n"/>
      <c r="J298" s="2" t="n"/>
      <c r="K298" s="2" t="n"/>
      <c r="N298" s="4" t="n"/>
      <c r="V298">
        <f>IF(H298="",0,IFERROR(MATCH(H298,'רשימות'!$A$2:$A$13,0),0))</f>
        <v/>
      </c>
    </row>
    <row r="299">
      <c r="A299">
        <f>IF(C299="","","L-"&amp;TEXT(ROW()-1,"0000"))</f>
        <v/>
      </c>
      <c r="B299" s="2" t="n"/>
      <c r="D299" s="3" t="n"/>
      <c r="J299" s="2" t="n"/>
      <c r="K299" s="2" t="n"/>
      <c r="N299" s="4" t="n"/>
      <c r="V299">
        <f>IF(H299="",0,IFERROR(MATCH(H299,'רשימות'!$A$2:$A$13,0),0))</f>
        <v/>
      </c>
    </row>
    <row r="300">
      <c r="A300">
        <f>IF(C300="","","L-"&amp;TEXT(ROW()-1,"0000"))</f>
        <v/>
      </c>
      <c r="B300" s="2" t="n"/>
      <c r="D300" s="3" t="n"/>
      <c r="J300" s="2" t="n"/>
      <c r="K300" s="2" t="n"/>
      <c r="N300" s="4" t="n"/>
      <c r="V300">
        <f>IF(H300="",0,IFERROR(MATCH(H300,'רשימות'!$A$2:$A$13,0),0))</f>
        <v/>
      </c>
    </row>
    <row r="301">
      <c r="A301">
        <f>IF(C301="","","L-"&amp;TEXT(ROW()-1,"0000"))</f>
        <v/>
      </c>
      <c r="B301" s="2" t="n"/>
      <c r="D301" s="3" t="n"/>
      <c r="J301" s="2" t="n"/>
      <c r="K301" s="2" t="n"/>
      <c r="N301" s="4" t="n"/>
      <c r="V301">
        <f>IF(H301="",0,IFERROR(MATCH(H301,'רשימות'!$A$2:$A$13,0),0))</f>
        <v/>
      </c>
    </row>
    <row r="302">
      <c r="A302">
        <f>IF(C302="","","L-"&amp;TEXT(ROW()-1,"0000"))</f>
        <v/>
      </c>
      <c r="B302" s="2" t="n"/>
      <c r="D302" s="3" t="n"/>
      <c r="J302" s="2" t="n"/>
      <c r="K302" s="2" t="n"/>
      <c r="N302" s="4" t="n"/>
      <c r="V302">
        <f>IF(H302="",0,IFERROR(MATCH(H302,'רשימות'!$A$2:$A$13,0),0))</f>
        <v/>
      </c>
    </row>
    <row r="303">
      <c r="A303">
        <f>IF(C303="","","L-"&amp;TEXT(ROW()-1,"0000"))</f>
        <v/>
      </c>
      <c r="B303" s="2" t="n"/>
      <c r="D303" s="3" t="n"/>
      <c r="J303" s="2" t="n"/>
      <c r="K303" s="2" t="n"/>
      <c r="N303" s="4" t="n"/>
      <c r="V303">
        <f>IF(H303="",0,IFERROR(MATCH(H303,'רשימות'!$A$2:$A$13,0),0))</f>
        <v/>
      </c>
    </row>
    <row r="304">
      <c r="A304">
        <f>IF(C304="","","L-"&amp;TEXT(ROW()-1,"0000"))</f>
        <v/>
      </c>
      <c r="B304" s="2" t="n"/>
      <c r="D304" s="3" t="n"/>
      <c r="J304" s="2" t="n"/>
      <c r="K304" s="2" t="n"/>
      <c r="N304" s="4" t="n"/>
      <c r="V304">
        <f>IF(H304="",0,IFERROR(MATCH(H304,'רשימות'!$A$2:$A$13,0),0))</f>
        <v/>
      </c>
    </row>
    <row r="305">
      <c r="A305">
        <f>IF(C305="","","L-"&amp;TEXT(ROW()-1,"0000"))</f>
        <v/>
      </c>
      <c r="B305" s="2" t="n"/>
      <c r="D305" s="3" t="n"/>
      <c r="J305" s="2" t="n"/>
      <c r="K305" s="2" t="n"/>
      <c r="N305" s="4" t="n"/>
      <c r="V305">
        <f>IF(H305="",0,IFERROR(MATCH(H305,'רשימות'!$A$2:$A$13,0),0))</f>
        <v/>
      </c>
    </row>
    <row r="306">
      <c r="A306">
        <f>IF(C306="","","L-"&amp;TEXT(ROW()-1,"0000"))</f>
        <v/>
      </c>
      <c r="B306" s="2" t="n"/>
      <c r="D306" s="3" t="n"/>
      <c r="J306" s="2" t="n"/>
      <c r="K306" s="2" t="n"/>
      <c r="N306" s="4" t="n"/>
      <c r="V306">
        <f>IF(H306="",0,IFERROR(MATCH(H306,'רשימות'!$A$2:$A$13,0),0))</f>
        <v/>
      </c>
    </row>
    <row r="307">
      <c r="A307">
        <f>IF(C307="","","L-"&amp;TEXT(ROW()-1,"0000"))</f>
        <v/>
      </c>
      <c r="B307" s="2" t="n"/>
      <c r="D307" s="3" t="n"/>
      <c r="J307" s="2" t="n"/>
      <c r="K307" s="2" t="n"/>
      <c r="N307" s="4" t="n"/>
      <c r="V307">
        <f>IF(H307="",0,IFERROR(MATCH(H307,'רשימות'!$A$2:$A$13,0),0))</f>
        <v/>
      </c>
    </row>
    <row r="308">
      <c r="A308">
        <f>IF(C308="","","L-"&amp;TEXT(ROW()-1,"0000"))</f>
        <v/>
      </c>
      <c r="B308" s="2" t="n"/>
      <c r="D308" s="3" t="n"/>
      <c r="J308" s="2" t="n"/>
      <c r="K308" s="2" t="n"/>
      <c r="N308" s="4" t="n"/>
      <c r="V308">
        <f>IF(H308="",0,IFERROR(MATCH(H308,'רשימות'!$A$2:$A$13,0),0))</f>
        <v/>
      </c>
    </row>
    <row r="309">
      <c r="A309">
        <f>IF(C309="","","L-"&amp;TEXT(ROW()-1,"0000"))</f>
        <v/>
      </c>
      <c r="B309" s="2" t="n"/>
      <c r="D309" s="3" t="n"/>
      <c r="J309" s="2" t="n"/>
      <c r="K309" s="2" t="n"/>
      <c r="N309" s="4" t="n"/>
      <c r="V309">
        <f>IF(H309="",0,IFERROR(MATCH(H309,'רשימות'!$A$2:$A$13,0),0))</f>
        <v/>
      </c>
    </row>
    <row r="310">
      <c r="A310">
        <f>IF(C310="","","L-"&amp;TEXT(ROW()-1,"0000"))</f>
        <v/>
      </c>
      <c r="B310" s="2" t="n"/>
      <c r="D310" s="3" t="n"/>
      <c r="J310" s="2" t="n"/>
      <c r="K310" s="2" t="n"/>
      <c r="N310" s="4" t="n"/>
      <c r="V310">
        <f>IF(H310="",0,IFERROR(MATCH(H310,'רשימות'!$A$2:$A$13,0),0))</f>
        <v/>
      </c>
    </row>
    <row r="311">
      <c r="A311">
        <f>IF(C311="","","L-"&amp;TEXT(ROW()-1,"0000"))</f>
        <v/>
      </c>
      <c r="B311" s="2" t="n"/>
      <c r="D311" s="3" t="n"/>
      <c r="J311" s="2" t="n"/>
      <c r="K311" s="2" t="n"/>
      <c r="N311" s="4" t="n"/>
      <c r="V311">
        <f>IF(H311="",0,IFERROR(MATCH(H311,'רשימות'!$A$2:$A$13,0),0))</f>
        <v/>
      </c>
    </row>
    <row r="312">
      <c r="A312">
        <f>IF(C312="","","L-"&amp;TEXT(ROW()-1,"0000"))</f>
        <v/>
      </c>
      <c r="B312" s="2" t="n"/>
      <c r="D312" s="3" t="n"/>
      <c r="J312" s="2" t="n"/>
      <c r="K312" s="2" t="n"/>
      <c r="N312" s="4" t="n"/>
      <c r="V312">
        <f>IF(H312="",0,IFERROR(MATCH(H312,'רשימות'!$A$2:$A$13,0),0))</f>
        <v/>
      </c>
    </row>
    <row r="313">
      <c r="A313">
        <f>IF(C313="","","L-"&amp;TEXT(ROW()-1,"0000"))</f>
        <v/>
      </c>
      <c r="B313" s="2" t="n"/>
      <c r="D313" s="3" t="n"/>
      <c r="J313" s="2" t="n"/>
      <c r="K313" s="2" t="n"/>
      <c r="N313" s="4" t="n"/>
      <c r="V313">
        <f>IF(H313="",0,IFERROR(MATCH(H313,'רשימות'!$A$2:$A$13,0),0))</f>
        <v/>
      </c>
    </row>
    <row r="314">
      <c r="A314">
        <f>IF(C314="","","L-"&amp;TEXT(ROW()-1,"0000"))</f>
        <v/>
      </c>
      <c r="B314" s="2" t="n"/>
      <c r="D314" s="3" t="n"/>
      <c r="J314" s="2" t="n"/>
      <c r="K314" s="2" t="n"/>
      <c r="N314" s="4" t="n"/>
      <c r="V314">
        <f>IF(H314="",0,IFERROR(MATCH(H314,'רשימות'!$A$2:$A$13,0),0))</f>
        <v/>
      </c>
    </row>
    <row r="315">
      <c r="A315">
        <f>IF(C315="","","L-"&amp;TEXT(ROW()-1,"0000"))</f>
        <v/>
      </c>
      <c r="B315" s="2" t="n"/>
      <c r="D315" s="3" t="n"/>
      <c r="J315" s="2" t="n"/>
      <c r="K315" s="2" t="n"/>
      <c r="N315" s="4" t="n"/>
      <c r="V315">
        <f>IF(H315="",0,IFERROR(MATCH(H315,'רשימות'!$A$2:$A$13,0),0))</f>
        <v/>
      </c>
    </row>
    <row r="316">
      <c r="A316">
        <f>IF(C316="","","L-"&amp;TEXT(ROW()-1,"0000"))</f>
        <v/>
      </c>
      <c r="B316" s="2" t="n"/>
      <c r="D316" s="3" t="n"/>
      <c r="J316" s="2" t="n"/>
      <c r="K316" s="2" t="n"/>
      <c r="N316" s="4" t="n"/>
      <c r="V316">
        <f>IF(H316="",0,IFERROR(MATCH(H316,'רשימות'!$A$2:$A$13,0),0))</f>
        <v/>
      </c>
    </row>
    <row r="317">
      <c r="A317">
        <f>IF(C317="","","L-"&amp;TEXT(ROW()-1,"0000"))</f>
        <v/>
      </c>
      <c r="B317" s="2" t="n"/>
      <c r="D317" s="3" t="n"/>
      <c r="J317" s="2" t="n"/>
      <c r="K317" s="2" t="n"/>
      <c r="N317" s="4" t="n"/>
      <c r="V317">
        <f>IF(H317="",0,IFERROR(MATCH(H317,'רשימות'!$A$2:$A$13,0),0))</f>
        <v/>
      </c>
    </row>
    <row r="318">
      <c r="A318">
        <f>IF(C318="","","L-"&amp;TEXT(ROW()-1,"0000"))</f>
        <v/>
      </c>
      <c r="B318" s="2" t="n"/>
      <c r="D318" s="3" t="n"/>
      <c r="J318" s="2" t="n"/>
      <c r="K318" s="2" t="n"/>
      <c r="N318" s="4" t="n"/>
      <c r="V318">
        <f>IF(H318="",0,IFERROR(MATCH(H318,'רשימות'!$A$2:$A$13,0),0))</f>
        <v/>
      </c>
    </row>
    <row r="319">
      <c r="A319">
        <f>IF(C319="","","L-"&amp;TEXT(ROW()-1,"0000"))</f>
        <v/>
      </c>
      <c r="B319" s="2" t="n"/>
      <c r="D319" s="3" t="n"/>
      <c r="J319" s="2" t="n"/>
      <c r="K319" s="2" t="n"/>
      <c r="N319" s="4" t="n"/>
      <c r="V319">
        <f>IF(H319="",0,IFERROR(MATCH(H319,'רשימות'!$A$2:$A$13,0),0))</f>
        <v/>
      </c>
    </row>
    <row r="320">
      <c r="A320">
        <f>IF(C320="","","L-"&amp;TEXT(ROW()-1,"0000"))</f>
        <v/>
      </c>
      <c r="B320" s="2" t="n"/>
      <c r="D320" s="3" t="n"/>
      <c r="J320" s="2" t="n"/>
      <c r="K320" s="2" t="n"/>
      <c r="N320" s="4" t="n"/>
      <c r="V320">
        <f>IF(H320="",0,IFERROR(MATCH(H320,'רשימות'!$A$2:$A$13,0),0))</f>
        <v/>
      </c>
    </row>
    <row r="321">
      <c r="A321">
        <f>IF(C321="","","L-"&amp;TEXT(ROW()-1,"0000"))</f>
        <v/>
      </c>
      <c r="B321" s="2" t="n"/>
      <c r="D321" s="3" t="n"/>
      <c r="J321" s="2" t="n"/>
      <c r="K321" s="2" t="n"/>
      <c r="N321" s="4" t="n"/>
      <c r="V321">
        <f>IF(H321="",0,IFERROR(MATCH(H321,'רשימות'!$A$2:$A$13,0),0))</f>
        <v/>
      </c>
    </row>
    <row r="322">
      <c r="A322">
        <f>IF(C322="","","L-"&amp;TEXT(ROW()-1,"0000"))</f>
        <v/>
      </c>
      <c r="B322" s="2" t="n"/>
      <c r="D322" s="3" t="n"/>
      <c r="J322" s="2" t="n"/>
      <c r="K322" s="2" t="n"/>
      <c r="N322" s="4" t="n"/>
      <c r="V322">
        <f>IF(H322="",0,IFERROR(MATCH(H322,'רשימות'!$A$2:$A$13,0),0))</f>
        <v/>
      </c>
    </row>
    <row r="323">
      <c r="A323">
        <f>IF(C323="","","L-"&amp;TEXT(ROW()-1,"0000"))</f>
        <v/>
      </c>
      <c r="B323" s="2" t="n"/>
      <c r="D323" s="3" t="n"/>
      <c r="J323" s="2" t="n"/>
      <c r="K323" s="2" t="n"/>
      <c r="N323" s="4" t="n"/>
      <c r="V323">
        <f>IF(H323="",0,IFERROR(MATCH(H323,'רשימות'!$A$2:$A$13,0),0))</f>
        <v/>
      </c>
    </row>
    <row r="324">
      <c r="A324">
        <f>IF(C324="","","L-"&amp;TEXT(ROW()-1,"0000"))</f>
        <v/>
      </c>
      <c r="B324" s="2" t="n"/>
      <c r="D324" s="3" t="n"/>
      <c r="J324" s="2" t="n"/>
      <c r="K324" s="2" t="n"/>
      <c r="N324" s="4" t="n"/>
      <c r="V324">
        <f>IF(H324="",0,IFERROR(MATCH(H324,'רשימות'!$A$2:$A$13,0),0))</f>
        <v/>
      </c>
    </row>
    <row r="325">
      <c r="A325">
        <f>IF(C325="","","L-"&amp;TEXT(ROW()-1,"0000"))</f>
        <v/>
      </c>
      <c r="B325" s="2" t="n"/>
      <c r="D325" s="3" t="n"/>
      <c r="J325" s="2" t="n"/>
      <c r="K325" s="2" t="n"/>
      <c r="N325" s="4" t="n"/>
      <c r="V325">
        <f>IF(H325="",0,IFERROR(MATCH(H325,'רשימות'!$A$2:$A$13,0),0))</f>
        <v/>
      </c>
    </row>
    <row r="326">
      <c r="A326">
        <f>IF(C326="","","L-"&amp;TEXT(ROW()-1,"0000"))</f>
        <v/>
      </c>
      <c r="B326" s="2" t="n"/>
      <c r="D326" s="3" t="n"/>
      <c r="J326" s="2" t="n"/>
      <c r="K326" s="2" t="n"/>
      <c r="N326" s="4" t="n"/>
      <c r="V326">
        <f>IF(H326="",0,IFERROR(MATCH(H326,'רשימות'!$A$2:$A$13,0),0))</f>
        <v/>
      </c>
    </row>
    <row r="327">
      <c r="A327">
        <f>IF(C327="","","L-"&amp;TEXT(ROW()-1,"0000"))</f>
        <v/>
      </c>
      <c r="B327" s="2" t="n"/>
      <c r="D327" s="3" t="n"/>
      <c r="J327" s="2" t="n"/>
      <c r="K327" s="2" t="n"/>
      <c r="N327" s="4" t="n"/>
      <c r="V327">
        <f>IF(H327="",0,IFERROR(MATCH(H327,'רשימות'!$A$2:$A$13,0),0))</f>
        <v/>
      </c>
    </row>
    <row r="328">
      <c r="A328">
        <f>IF(C328="","","L-"&amp;TEXT(ROW()-1,"0000"))</f>
        <v/>
      </c>
      <c r="B328" s="2" t="n"/>
      <c r="D328" s="3" t="n"/>
      <c r="J328" s="2" t="n"/>
      <c r="K328" s="2" t="n"/>
      <c r="N328" s="4" t="n"/>
      <c r="V328">
        <f>IF(H328="",0,IFERROR(MATCH(H328,'רשימות'!$A$2:$A$13,0),0))</f>
        <v/>
      </c>
    </row>
    <row r="329">
      <c r="A329">
        <f>IF(C329="","","L-"&amp;TEXT(ROW()-1,"0000"))</f>
        <v/>
      </c>
      <c r="B329" s="2" t="n"/>
      <c r="D329" s="3" t="n"/>
      <c r="J329" s="2" t="n"/>
      <c r="K329" s="2" t="n"/>
      <c r="N329" s="4" t="n"/>
      <c r="V329">
        <f>IF(H329="",0,IFERROR(MATCH(H329,'רשימות'!$A$2:$A$13,0),0))</f>
        <v/>
      </c>
    </row>
    <row r="330">
      <c r="A330">
        <f>IF(C330="","","L-"&amp;TEXT(ROW()-1,"0000"))</f>
        <v/>
      </c>
      <c r="B330" s="2" t="n"/>
      <c r="D330" s="3" t="n"/>
      <c r="J330" s="2" t="n"/>
      <c r="K330" s="2" t="n"/>
      <c r="N330" s="4" t="n"/>
      <c r="V330">
        <f>IF(H330="",0,IFERROR(MATCH(H330,'רשימות'!$A$2:$A$13,0),0))</f>
        <v/>
      </c>
    </row>
    <row r="331">
      <c r="A331">
        <f>IF(C331="","","L-"&amp;TEXT(ROW()-1,"0000"))</f>
        <v/>
      </c>
      <c r="B331" s="2" t="n"/>
      <c r="D331" s="3" t="n"/>
      <c r="J331" s="2" t="n"/>
      <c r="K331" s="2" t="n"/>
      <c r="N331" s="4" t="n"/>
      <c r="V331">
        <f>IF(H331="",0,IFERROR(MATCH(H331,'רשימות'!$A$2:$A$13,0),0))</f>
        <v/>
      </c>
    </row>
    <row r="332">
      <c r="A332">
        <f>IF(C332="","","L-"&amp;TEXT(ROW()-1,"0000"))</f>
        <v/>
      </c>
      <c r="B332" s="2" t="n"/>
      <c r="D332" s="3" t="n"/>
      <c r="J332" s="2" t="n"/>
      <c r="K332" s="2" t="n"/>
      <c r="N332" s="4" t="n"/>
      <c r="V332">
        <f>IF(H332="",0,IFERROR(MATCH(H332,'רשימות'!$A$2:$A$13,0),0))</f>
        <v/>
      </c>
    </row>
    <row r="333">
      <c r="A333">
        <f>IF(C333="","","L-"&amp;TEXT(ROW()-1,"0000"))</f>
        <v/>
      </c>
      <c r="B333" s="2" t="n"/>
      <c r="D333" s="3" t="n"/>
      <c r="J333" s="2" t="n"/>
      <c r="K333" s="2" t="n"/>
      <c r="N333" s="4" t="n"/>
      <c r="V333">
        <f>IF(H333="",0,IFERROR(MATCH(H333,'רשימות'!$A$2:$A$13,0),0))</f>
        <v/>
      </c>
    </row>
    <row r="334">
      <c r="A334">
        <f>IF(C334="","","L-"&amp;TEXT(ROW()-1,"0000"))</f>
        <v/>
      </c>
      <c r="B334" s="2" t="n"/>
      <c r="D334" s="3" t="n"/>
      <c r="J334" s="2" t="n"/>
      <c r="K334" s="2" t="n"/>
      <c r="N334" s="4" t="n"/>
      <c r="V334">
        <f>IF(H334="",0,IFERROR(MATCH(H334,'רשימות'!$A$2:$A$13,0),0))</f>
        <v/>
      </c>
    </row>
    <row r="335">
      <c r="A335">
        <f>IF(C335="","","L-"&amp;TEXT(ROW()-1,"0000"))</f>
        <v/>
      </c>
      <c r="B335" s="2" t="n"/>
      <c r="D335" s="3" t="n"/>
      <c r="J335" s="2" t="n"/>
      <c r="K335" s="2" t="n"/>
      <c r="N335" s="4" t="n"/>
      <c r="V335">
        <f>IF(H335="",0,IFERROR(MATCH(H335,'רשימות'!$A$2:$A$13,0),0))</f>
        <v/>
      </c>
    </row>
    <row r="336">
      <c r="A336">
        <f>IF(C336="","","L-"&amp;TEXT(ROW()-1,"0000"))</f>
        <v/>
      </c>
      <c r="B336" s="2" t="n"/>
      <c r="D336" s="3" t="n"/>
      <c r="J336" s="2" t="n"/>
      <c r="K336" s="2" t="n"/>
      <c r="N336" s="4" t="n"/>
      <c r="V336">
        <f>IF(H336="",0,IFERROR(MATCH(H336,'רשימות'!$A$2:$A$13,0),0))</f>
        <v/>
      </c>
    </row>
    <row r="337">
      <c r="A337">
        <f>IF(C337="","","L-"&amp;TEXT(ROW()-1,"0000"))</f>
        <v/>
      </c>
      <c r="B337" s="2" t="n"/>
      <c r="D337" s="3" t="n"/>
      <c r="J337" s="2" t="n"/>
      <c r="K337" s="2" t="n"/>
      <c r="N337" s="4" t="n"/>
      <c r="V337">
        <f>IF(H337="",0,IFERROR(MATCH(H337,'רשימות'!$A$2:$A$13,0),0))</f>
        <v/>
      </c>
    </row>
    <row r="338">
      <c r="A338">
        <f>IF(C338="","","L-"&amp;TEXT(ROW()-1,"0000"))</f>
        <v/>
      </c>
      <c r="B338" s="2" t="n"/>
      <c r="D338" s="3" t="n"/>
      <c r="J338" s="2" t="n"/>
      <c r="K338" s="2" t="n"/>
      <c r="N338" s="4" t="n"/>
      <c r="V338">
        <f>IF(H338="",0,IFERROR(MATCH(H338,'רשימות'!$A$2:$A$13,0),0))</f>
        <v/>
      </c>
    </row>
    <row r="339">
      <c r="A339">
        <f>IF(C339="","","L-"&amp;TEXT(ROW()-1,"0000"))</f>
        <v/>
      </c>
      <c r="B339" s="2" t="n"/>
      <c r="D339" s="3" t="n"/>
      <c r="J339" s="2" t="n"/>
      <c r="K339" s="2" t="n"/>
      <c r="N339" s="4" t="n"/>
      <c r="V339">
        <f>IF(H339="",0,IFERROR(MATCH(H339,'רשימות'!$A$2:$A$13,0),0))</f>
        <v/>
      </c>
    </row>
    <row r="340">
      <c r="A340">
        <f>IF(C340="","","L-"&amp;TEXT(ROW()-1,"0000"))</f>
        <v/>
      </c>
      <c r="B340" s="2" t="n"/>
      <c r="D340" s="3" t="n"/>
      <c r="J340" s="2" t="n"/>
      <c r="K340" s="2" t="n"/>
      <c r="N340" s="4" t="n"/>
      <c r="V340">
        <f>IF(H340="",0,IFERROR(MATCH(H340,'רשימות'!$A$2:$A$13,0),0))</f>
        <v/>
      </c>
    </row>
    <row r="341">
      <c r="A341">
        <f>IF(C341="","","L-"&amp;TEXT(ROW()-1,"0000"))</f>
        <v/>
      </c>
      <c r="B341" s="2" t="n"/>
      <c r="D341" s="3" t="n"/>
      <c r="J341" s="2" t="n"/>
      <c r="K341" s="2" t="n"/>
      <c r="N341" s="4" t="n"/>
      <c r="V341">
        <f>IF(H341="",0,IFERROR(MATCH(H341,'רשימות'!$A$2:$A$13,0),0))</f>
        <v/>
      </c>
    </row>
    <row r="342">
      <c r="A342">
        <f>IF(C342="","","L-"&amp;TEXT(ROW()-1,"0000"))</f>
        <v/>
      </c>
      <c r="B342" s="2" t="n"/>
      <c r="D342" s="3" t="n"/>
      <c r="J342" s="2" t="n"/>
      <c r="K342" s="2" t="n"/>
      <c r="N342" s="4" t="n"/>
      <c r="V342">
        <f>IF(H342="",0,IFERROR(MATCH(H342,'רשימות'!$A$2:$A$13,0),0))</f>
        <v/>
      </c>
    </row>
    <row r="343">
      <c r="A343">
        <f>IF(C343="","","L-"&amp;TEXT(ROW()-1,"0000"))</f>
        <v/>
      </c>
      <c r="B343" s="2" t="n"/>
      <c r="D343" s="3" t="n"/>
      <c r="J343" s="2" t="n"/>
      <c r="K343" s="2" t="n"/>
      <c r="N343" s="4" t="n"/>
      <c r="V343">
        <f>IF(H343="",0,IFERROR(MATCH(H343,'רשימות'!$A$2:$A$13,0),0))</f>
        <v/>
      </c>
    </row>
    <row r="344">
      <c r="A344">
        <f>IF(C344="","","L-"&amp;TEXT(ROW()-1,"0000"))</f>
        <v/>
      </c>
      <c r="B344" s="2" t="n"/>
      <c r="D344" s="3" t="n"/>
      <c r="J344" s="2" t="n"/>
      <c r="K344" s="2" t="n"/>
      <c r="N344" s="4" t="n"/>
      <c r="V344">
        <f>IF(H344="",0,IFERROR(MATCH(H344,'רשימות'!$A$2:$A$13,0),0))</f>
        <v/>
      </c>
    </row>
    <row r="345">
      <c r="A345">
        <f>IF(C345="","","L-"&amp;TEXT(ROW()-1,"0000"))</f>
        <v/>
      </c>
      <c r="B345" s="2" t="n"/>
      <c r="D345" s="3" t="n"/>
      <c r="J345" s="2" t="n"/>
      <c r="K345" s="2" t="n"/>
      <c r="N345" s="4" t="n"/>
      <c r="V345">
        <f>IF(H345="",0,IFERROR(MATCH(H345,'רשימות'!$A$2:$A$13,0),0))</f>
        <v/>
      </c>
    </row>
    <row r="346">
      <c r="A346">
        <f>IF(C346="","","L-"&amp;TEXT(ROW()-1,"0000"))</f>
        <v/>
      </c>
      <c r="B346" s="2" t="n"/>
      <c r="D346" s="3" t="n"/>
      <c r="J346" s="2" t="n"/>
      <c r="K346" s="2" t="n"/>
      <c r="N346" s="4" t="n"/>
      <c r="V346">
        <f>IF(H346="",0,IFERROR(MATCH(H346,'רשימות'!$A$2:$A$13,0),0))</f>
        <v/>
      </c>
    </row>
    <row r="347">
      <c r="A347">
        <f>IF(C347="","","L-"&amp;TEXT(ROW()-1,"0000"))</f>
        <v/>
      </c>
      <c r="B347" s="2" t="n"/>
      <c r="D347" s="3" t="n"/>
      <c r="J347" s="2" t="n"/>
      <c r="K347" s="2" t="n"/>
      <c r="N347" s="4" t="n"/>
      <c r="V347">
        <f>IF(H347="",0,IFERROR(MATCH(H347,'רשימות'!$A$2:$A$13,0),0))</f>
        <v/>
      </c>
    </row>
    <row r="348">
      <c r="A348">
        <f>IF(C348="","","L-"&amp;TEXT(ROW()-1,"0000"))</f>
        <v/>
      </c>
      <c r="B348" s="2" t="n"/>
      <c r="D348" s="3" t="n"/>
      <c r="J348" s="2" t="n"/>
      <c r="K348" s="2" t="n"/>
      <c r="N348" s="4" t="n"/>
      <c r="V348">
        <f>IF(H348="",0,IFERROR(MATCH(H348,'רשימות'!$A$2:$A$13,0),0))</f>
        <v/>
      </c>
    </row>
    <row r="349">
      <c r="A349">
        <f>IF(C349="","","L-"&amp;TEXT(ROW()-1,"0000"))</f>
        <v/>
      </c>
      <c r="B349" s="2" t="n"/>
      <c r="D349" s="3" t="n"/>
      <c r="J349" s="2" t="n"/>
      <c r="K349" s="2" t="n"/>
      <c r="N349" s="4" t="n"/>
      <c r="V349">
        <f>IF(H349="",0,IFERROR(MATCH(H349,'רשימות'!$A$2:$A$13,0),0))</f>
        <v/>
      </c>
    </row>
    <row r="350">
      <c r="A350">
        <f>IF(C350="","","L-"&amp;TEXT(ROW()-1,"0000"))</f>
        <v/>
      </c>
      <c r="B350" s="2" t="n"/>
      <c r="D350" s="3" t="n"/>
      <c r="J350" s="2" t="n"/>
      <c r="K350" s="2" t="n"/>
      <c r="N350" s="4" t="n"/>
      <c r="V350">
        <f>IF(H350="",0,IFERROR(MATCH(H350,'רשימות'!$A$2:$A$13,0),0))</f>
        <v/>
      </c>
    </row>
    <row r="351">
      <c r="A351">
        <f>IF(C351="","","L-"&amp;TEXT(ROW()-1,"0000"))</f>
        <v/>
      </c>
      <c r="B351" s="2" t="n"/>
      <c r="D351" s="3" t="n"/>
      <c r="J351" s="2" t="n"/>
      <c r="K351" s="2" t="n"/>
      <c r="N351" s="4" t="n"/>
      <c r="V351">
        <f>IF(H351="",0,IFERROR(MATCH(H351,'רשימות'!$A$2:$A$13,0),0))</f>
        <v/>
      </c>
    </row>
    <row r="352">
      <c r="A352">
        <f>IF(C352="","","L-"&amp;TEXT(ROW()-1,"0000"))</f>
        <v/>
      </c>
      <c r="B352" s="2" t="n"/>
      <c r="D352" s="3" t="n"/>
      <c r="J352" s="2" t="n"/>
      <c r="K352" s="2" t="n"/>
      <c r="N352" s="4" t="n"/>
      <c r="V352">
        <f>IF(H352="",0,IFERROR(MATCH(H352,'רשימות'!$A$2:$A$13,0),0))</f>
        <v/>
      </c>
    </row>
    <row r="353">
      <c r="A353">
        <f>IF(C353="","","L-"&amp;TEXT(ROW()-1,"0000"))</f>
        <v/>
      </c>
      <c r="B353" s="2" t="n"/>
      <c r="D353" s="3" t="n"/>
      <c r="J353" s="2" t="n"/>
      <c r="K353" s="2" t="n"/>
      <c r="N353" s="4" t="n"/>
      <c r="V353">
        <f>IF(H353="",0,IFERROR(MATCH(H353,'רשימות'!$A$2:$A$13,0),0))</f>
        <v/>
      </c>
    </row>
    <row r="354">
      <c r="A354">
        <f>IF(C354="","","L-"&amp;TEXT(ROW()-1,"0000"))</f>
        <v/>
      </c>
      <c r="B354" s="2" t="n"/>
      <c r="D354" s="3" t="n"/>
      <c r="J354" s="2" t="n"/>
      <c r="K354" s="2" t="n"/>
      <c r="N354" s="4" t="n"/>
      <c r="V354">
        <f>IF(H354="",0,IFERROR(MATCH(H354,'רשימות'!$A$2:$A$13,0),0))</f>
        <v/>
      </c>
    </row>
    <row r="355">
      <c r="A355">
        <f>IF(C355="","","L-"&amp;TEXT(ROW()-1,"0000"))</f>
        <v/>
      </c>
      <c r="B355" s="2" t="n"/>
      <c r="D355" s="3" t="n"/>
      <c r="J355" s="2" t="n"/>
      <c r="K355" s="2" t="n"/>
      <c r="N355" s="4" t="n"/>
      <c r="V355">
        <f>IF(H355="",0,IFERROR(MATCH(H355,'רשימות'!$A$2:$A$13,0),0))</f>
        <v/>
      </c>
    </row>
    <row r="356">
      <c r="A356">
        <f>IF(C356="","","L-"&amp;TEXT(ROW()-1,"0000"))</f>
        <v/>
      </c>
      <c r="B356" s="2" t="n"/>
      <c r="D356" s="3" t="n"/>
      <c r="J356" s="2" t="n"/>
      <c r="K356" s="2" t="n"/>
      <c r="N356" s="4" t="n"/>
      <c r="V356">
        <f>IF(H356="",0,IFERROR(MATCH(H356,'רשימות'!$A$2:$A$13,0),0))</f>
        <v/>
      </c>
    </row>
    <row r="357">
      <c r="A357">
        <f>IF(C357="","","L-"&amp;TEXT(ROW()-1,"0000"))</f>
        <v/>
      </c>
      <c r="B357" s="2" t="n"/>
      <c r="D357" s="3" t="n"/>
      <c r="J357" s="2" t="n"/>
      <c r="K357" s="2" t="n"/>
      <c r="N357" s="4" t="n"/>
      <c r="V357">
        <f>IF(H357="",0,IFERROR(MATCH(H357,'רשימות'!$A$2:$A$13,0),0))</f>
        <v/>
      </c>
    </row>
    <row r="358">
      <c r="A358">
        <f>IF(C358="","","L-"&amp;TEXT(ROW()-1,"0000"))</f>
        <v/>
      </c>
      <c r="B358" s="2" t="n"/>
      <c r="D358" s="3" t="n"/>
      <c r="J358" s="2" t="n"/>
      <c r="K358" s="2" t="n"/>
      <c r="N358" s="4" t="n"/>
      <c r="V358">
        <f>IF(H358="",0,IFERROR(MATCH(H358,'רשימות'!$A$2:$A$13,0),0))</f>
        <v/>
      </c>
    </row>
    <row r="359">
      <c r="A359">
        <f>IF(C359="","","L-"&amp;TEXT(ROW()-1,"0000"))</f>
        <v/>
      </c>
      <c r="B359" s="2" t="n"/>
      <c r="D359" s="3" t="n"/>
      <c r="J359" s="2" t="n"/>
      <c r="K359" s="2" t="n"/>
      <c r="N359" s="4" t="n"/>
      <c r="V359">
        <f>IF(H359="",0,IFERROR(MATCH(H359,'רשימות'!$A$2:$A$13,0),0))</f>
        <v/>
      </c>
    </row>
    <row r="360">
      <c r="A360">
        <f>IF(C360="","","L-"&amp;TEXT(ROW()-1,"0000"))</f>
        <v/>
      </c>
      <c r="B360" s="2" t="n"/>
      <c r="D360" s="3" t="n"/>
      <c r="J360" s="2" t="n"/>
      <c r="K360" s="2" t="n"/>
      <c r="N360" s="4" t="n"/>
      <c r="V360">
        <f>IF(H360="",0,IFERROR(MATCH(H360,'רשימות'!$A$2:$A$13,0),0))</f>
        <v/>
      </c>
    </row>
    <row r="361">
      <c r="A361">
        <f>IF(C361="","","L-"&amp;TEXT(ROW()-1,"0000"))</f>
        <v/>
      </c>
      <c r="B361" s="2" t="n"/>
      <c r="D361" s="3" t="n"/>
      <c r="J361" s="2" t="n"/>
      <c r="K361" s="2" t="n"/>
      <c r="N361" s="4" t="n"/>
      <c r="V361">
        <f>IF(H361="",0,IFERROR(MATCH(H361,'רשימות'!$A$2:$A$13,0),0))</f>
        <v/>
      </c>
    </row>
    <row r="362">
      <c r="A362">
        <f>IF(C362="","","L-"&amp;TEXT(ROW()-1,"0000"))</f>
        <v/>
      </c>
      <c r="B362" s="2" t="n"/>
      <c r="D362" s="3" t="n"/>
      <c r="J362" s="2" t="n"/>
      <c r="K362" s="2" t="n"/>
      <c r="N362" s="4" t="n"/>
      <c r="V362">
        <f>IF(H362="",0,IFERROR(MATCH(H362,'רשימות'!$A$2:$A$13,0),0))</f>
        <v/>
      </c>
    </row>
    <row r="363">
      <c r="A363">
        <f>IF(C363="","","L-"&amp;TEXT(ROW()-1,"0000"))</f>
        <v/>
      </c>
      <c r="B363" s="2" t="n"/>
      <c r="D363" s="3" t="n"/>
      <c r="J363" s="2" t="n"/>
      <c r="K363" s="2" t="n"/>
      <c r="N363" s="4" t="n"/>
      <c r="V363">
        <f>IF(H363="",0,IFERROR(MATCH(H363,'רשימות'!$A$2:$A$13,0),0))</f>
        <v/>
      </c>
    </row>
    <row r="364">
      <c r="A364">
        <f>IF(C364="","","L-"&amp;TEXT(ROW()-1,"0000"))</f>
        <v/>
      </c>
      <c r="B364" s="2" t="n"/>
      <c r="D364" s="3" t="n"/>
      <c r="J364" s="2" t="n"/>
      <c r="K364" s="2" t="n"/>
      <c r="N364" s="4" t="n"/>
      <c r="V364">
        <f>IF(H364="",0,IFERROR(MATCH(H364,'רשימות'!$A$2:$A$13,0),0))</f>
        <v/>
      </c>
    </row>
    <row r="365">
      <c r="A365">
        <f>IF(C365="","","L-"&amp;TEXT(ROW()-1,"0000"))</f>
        <v/>
      </c>
      <c r="B365" s="2" t="n"/>
      <c r="D365" s="3" t="n"/>
      <c r="J365" s="2" t="n"/>
      <c r="K365" s="2" t="n"/>
      <c r="N365" s="4" t="n"/>
      <c r="V365">
        <f>IF(H365="",0,IFERROR(MATCH(H365,'רשימות'!$A$2:$A$13,0),0))</f>
        <v/>
      </c>
    </row>
    <row r="366">
      <c r="A366">
        <f>IF(C366="","","L-"&amp;TEXT(ROW()-1,"0000"))</f>
        <v/>
      </c>
      <c r="B366" s="2" t="n"/>
      <c r="D366" s="3" t="n"/>
      <c r="J366" s="2" t="n"/>
      <c r="K366" s="2" t="n"/>
      <c r="N366" s="4" t="n"/>
      <c r="V366">
        <f>IF(H366="",0,IFERROR(MATCH(H366,'רשימות'!$A$2:$A$13,0),0))</f>
        <v/>
      </c>
    </row>
    <row r="367">
      <c r="A367">
        <f>IF(C367="","","L-"&amp;TEXT(ROW()-1,"0000"))</f>
        <v/>
      </c>
      <c r="B367" s="2" t="n"/>
      <c r="D367" s="3" t="n"/>
      <c r="J367" s="2" t="n"/>
      <c r="K367" s="2" t="n"/>
      <c r="N367" s="4" t="n"/>
      <c r="V367">
        <f>IF(H367="",0,IFERROR(MATCH(H367,'רשימות'!$A$2:$A$13,0),0))</f>
        <v/>
      </c>
    </row>
    <row r="368">
      <c r="A368">
        <f>IF(C368="","","L-"&amp;TEXT(ROW()-1,"0000"))</f>
        <v/>
      </c>
      <c r="B368" s="2" t="n"/>
      <c r="D368" s="3" t="n"/>
      <c r="J368" s="2" t="n"/>
      <c r="K368" s="2" t="n"/>
      <c r="N368" s="4" t="n"/>
      <c r="V368">
        <f>IF(H368="",0,IFERROR(MATCH(H368,'רשימות'!$A$2:$A$13,0),0))</f>
        <v/>
      </c>
    </row>
    <row r="369">
      <c r="A369">
        <f>IF(C369="","","L-"&amp;TEXT(ROW()-1,"0000"))</f>
        <v/>
      </c>
      <c r="B369" s="2" t="n"/>
      <c r="D369" s="3" t="n"/>
      <c r="J369" s="2" t="n"/>
      <c r="K369" s="2" t="n"/>
      <c r="N369" s="4" t="n"/>
      <c r="V369">
        <f>IF(H369="",0,IFERROR(MATCH(H369,'רשימות'!$A$2:$A$13,0),0))</f>
        <v/>
      </c>
    </row>
    <row r="370">
      <c r="A370">
        <f>IF(C370="","","L-"&amp;TEXT(ROW()-1,"0000"))</f>
        <v/>
      </c>
      <c r="B370" s="2" t="n"/>
      <c r="D370" s="3" t="n"/>
      <c r="J370" s="2" t="n"/>
      <c r="K370" s="2" t="n"/>
      <c r="N370" s="4" t="n"/>
      <c r="V370">
        <f>IF(H370="",0,IFERROR(MATCH(H370,'רשימות'!$A$2:$A$13,0),0))</f>
        <v/>
      </c>
    </row>
    <row r="371">
      <c r="A371">
        <f>IF(C371="","","L-"&amp;TEXT(ROW()-1,"0000"))</f>
        <v/>
      </c>
      <c r="B371" s="2" t="n"/>
      <c r="D371" s="3" t="n"/>
      <c r="J371" s="2" t="n"/>
      <c r="K371" s="2" t="n"/>
      <c r="N371" s="4" t="n"/>
      <c r="V371">
        <f>IF(H371="",0,IFERROR(MATCH(H371,'רשימות'!$A$2:$A$13,0),0))</f>
        <v/>
      </c>
    </row>
    <row r="372">
      <c r="A372">
        <f>IF(C372="","","L-"&amp;TEXT(ROW()-1,"0000"))</f>
        <v/>
      </c>
      <c r="B372" s="2" t="n"/>
      <c r="D372" s="3" t="n"/>
      <c r="J372" s="2" t="n"/>
      <c r="K372" s="2" t="n"/>
      <c r="N372" s="4" t="n"/>
      <c r="V372">
        <f>IF(H372="",0,IFERROR(MATCH(H372,'רשימות'!$A$2:$A$13,0),0))</f>
        <v/>
      </c>
    </row>
    <row r="373">
      <c r="A373">
        <f>IF(C373="","","L-"&amp;TEXT(ROW()-1,"0000"))</f>
        <v/>
      </c>
      <c r="B373" s="2" t="n"/>
      <c r="D373" s="3" t="n"/>
      <c r="J373" s="2" t="n"/>
      <c r="K373" s="2" t="n"/>
      <c r="N373" s="4" t="n"/>
      <c r="V373">
        <f>IF(H373="",0,IFERROR(MATCH(H373,'רשימות'!$A$2:$A$13,0),0))</f>
        <v/>
      </c>
    </row>
    <row r="374">
      <c r="A374">
        <f>IF(C374="","","L-"&amp;TEXT(ROW()-1,"0000"))</f>
        <v/>
      </c>
      <c r="B374" s="2" t="n"/>
      <c r="D374" s="3" t="n"/>
      <c r="J374" s="2" t="n"/>
      <c r="K374" s="2" t="n"/>
      <c r="N374" s="4" t="n"/>
      <c r="V374">
        <f>IF(H374="",0,IFERROR(MATCH(H374,'רשימות'!$A$2:$A$13,0),0))</f>
        <v/>
      </c>
    </row>
    <row r="375">
      <c r="A375">
        <f>IF(C375="","","L-"&amp;TEXT(ROW()-1,"0000"))</f>
        <v/>
      </c>
      <c r="B375" s="2" t="n"/>
      <c r="D375" s="3" t="n"/>
      <c r="J375" s="2" t="n"/>
      <c r="K375" s="2" t="n"/>
      <c r="N375" s="4" t="n"/>
      <c r="V375">
        <f>IF(H375="",0,IFERROR(MATCH(H375,'רשימות'!$A$2:$A$13,0),0))</f>
        <v/>
      </c>
    </row>
    <row r="376">
      <c r="A376">
        <f>IF(C376="","","L-"&amp;TEXT(ROW()-1,"0000"))</f>
        <v/>
      </c>
      <c r="B376" s="2" t="n"/>
      <c r="D376" s="3" t="n"/>
      <c r="J376" s="2" t="n"/>
      <c r="K376" s="2" t="n"/>
      <c r="N376" s="4" t="n"/>
      <c r="V376">
        <f>IF(H376="",0,IFERROR(MATCH(H376,'רשימות'!$A$2:$A$13,0),0))</f>
        <v/>
      </c>
    </row>
    <row r="377">
      <c r="A377">
        <f>IF(C377="","","L-"&amp;TEXT(ROW()-1,"0000"))</f>
        <v/>
      </c>
      <c r="B377" s="2" t="n"/>
      <c r="D377" s="3" t="n"/>
      <c r="J377" s="2" t="n"/>
      <c r="K377" s="2" t="n"/>
      <c r="N377" s="4" t="n"/>
      <c r="V377">
        <f>IF(H377="",0,IFERROR(MATCH(H377,'רשימות'!$A$2:$A$13,0),0))</f>
        <v/>
      </c>
    </row>
    <row r="378">
      <c r="A378">
        <f>IF(C378="","","L-"&amp;TEXT(ROW()-1,"0000"))</f>
        <v/>
      </c>
      <c r="B378" s="2" t="n"/>
      <c r="D378" s="3" t="n"/>
      <c r="J378" s="2" t="n"/>
      <c r="K378" s="2" t="n"/>
      <c r="N378" s="4" t="n"/>
      <c r="V378">
        <f>IF(H378="",0,IFERROR(MATCH(H378,'רשימות'!$A$2:$A$13,0),0))</f>
        <v/>
      </c>
    </row>
    <row r="379">
      <c r="A379">
        <f>IF(C379="","","L-"&amp;TEXT(ROW()-1,"0000"))</f>
        <v/>
      </c>
      <c r="B379" s="2" t="n"/>
      <c r="D379" s="3" t="n"/>
      <c r="J379" s="2" t="n"/>
      <c r="K379" s="2" t="n"/>
      <c r="N379" s="4" t="n"/>
      <c r="V379">
        <f>IF(H379="",0,IFERROR(MATCH(H379,'רשימות'!$A$2:$A$13,0),0))</f>
        <v/>
      </c>
    </row>
    <row r="380">
      <c r="A380">
        <f>IF(C380="","","L-"&amp;TEXT(ROW()-1,"0000"))</f>
        <v/>
      </c>
      <c r="B380" s="2" t="n"/>
      <c r="D380" s="3" t="n"/>
      <c r="J380" s="2" t="n"/>
      <c r="K380" s="2" t="n"/>
      <c r="N380" s="4" t="n"/>
      <c r="V380">
        <f>IF(H380="",0,IFERROR(MATCH(H380,'רשימות'!$A$2:$A$13,0),0))</f>
        <v/>
      </c>
    </row>
    <row r="381">
      <c r="A381">
        <f>IF(C381="","","L-"&amp;TEXT(ROW()-1,"0000"))</f>
        <v/>
      </c>
      <c r="B381" s="2" t="n"/>
      <c r="D381" s="3" t="n"/>
      <c r="J381" s="2" t="n"/>
      <c r="K381" s="2" t="n"/>
      <c r="N381" s="4" t="n"/>
      <c r="V381">
        <f>IF(H381="",0,IFERROR(MATCH(H381,'רשימות'!$A$2:$A$13,0),0))</f>
        <v/>
      </c>
    </row>
    <row r="382">
      <c r="A382">
        <f>IF(C382="","","L-"&amp;TEXT(ROW()-1,"0000"))</f>
        <v/>
      </c>
      <c r="B382" s="2" t="n"/>
      <c r="D382" s="3" t="n"/>
      <c r="J382" s="2" t="n"/>
      <c r="K382" s="2" t="n"/>
      <c r="N382" s="4" t="n"/>
      <c r="V382">
        <f>IF(H382="",0,IFERROR(MATCH(H382,'רשימות'!$A$2:$A$13,0),0))</f>
        <v/>
      </c>
    </row>
    <row r="383">
      <c r="A383">
        <f>IF(C383="","","L-"&amp;TEXT(ROW()-1,"0000"))</f>
        <v/>
      </c>
      <c r="B383" s="2" t="n"/>
      <c r="D383" s="3" t="n"/>
      <c r="J383" s="2" t="n"/>
      <c r="K383" s="2" t="n"/>
      <c r="N383" s="4" t="n"/>
      <c r="V383">
        <f>IF(H383="",0,IFERROR(MATCH(H383,'רשימות'!$A$2:$A$13,0),0))</f>
        <v/>
      </c>
    </row>
    <row r="384">
      <c r="A384">
        <f>IF(C384="","","L-"&amp;TEXT(ROW()-1,"0000"))</f>
        <v/>
      </c>
      <c r="B384" s="2" t="n"/>
      <c r="D384" s="3" t="n"/>
      <c r="J384" s="2" t="n"/>
      <c r="K384" s="2" t="n"/>
      <c r="N384" s="4" t="n"/>
      <c r="V384">
        <f>IF(H384="",0,IFERROR(MATCH(H384,'רשימות'!$A$2:$A$13,0),0))</f>
        <v/>
      </c>
    </row>
    <row r="385">
      <c r="A385">
        <f>IF(C385="","","L-"&amp;TEXT(ROW()-1,"0000"))</f>
        <v/>
      </c>
      <c r="B385" s="2" t="n"/>
      <c r="D385" s="3" t="n"/>
      <c r="J385" s="2" t="n"/>
      <c r="K385" s="2" t="n"/>
      <c r="N385" s="4" t="n"/>
      <c r="V385">
        <f>IF(H385="",0,IFERROR(MATCH(H385,'רשימות'!$A$2:$A$13,0),0))</f>
        <v/>
      </c>
    </row>
    <row r="386">
      <c r="A386">
        <f>IF(C386="","","L-"&amp;TEXT(ROW()-1,"0000"))</f>
        <v/>
      </c>
      <c r="B386" s="2" t="n"/>
      <c r="D386" s="3" t="n"/>
      <c r="J386" s="2" t="n"/>
      <c r="K386" s="2" t="n"/>
      <c r="N386" s="4" t="n"/>
      <c r="V386">
        <f>IF(H386="",0,IFERROR(MATCH(H386,'רשימות'!$A$2:$A$13,0),0))</f>
        <v/>
      </c>
    </row>
    <row r="387">
      <c r="A387">
        <f>IF(C387="","","L-"&amp;TEXT(ROW()-1,"0000"))</f>
        <v/>
      </c>
      <c r="B387" s="2" t="n"/>
      <c r="D387" s="3" t="n"/>
      <c r="J387" s="2" t="n"/>
      <c r="K387" s="2" t="n"/>
      <c r="N387" s="4" t="n"/>
      <c r="V387">
        <f>IF(H387="",0,IFERROR(MATCH(H387,'רשימות'!$A$2:$A$13,0),0))</f>
        <v/>
      </c>
    </row>
    <row r="388">
      <c r="A388">
        <f>IF(C388="","","L-"&amp;TEXT(ROW()-1,"0000"))</f>
        <v/>
      </c>
      <c r="B388" s="2" t="n"/>
      <c r="D388" s="3" t="n"/>
      <c r="J388" s="2" t="n"/>
      <c r="K388" s="2" t="n"/>
      <c r="N388" s="4" t="n"/>
      <c r="V388">
        <f>IF(H388="",0,IFERROR(MATCH(H388,'רשימות'!$A$2:$A$13,0),0))</f>
        <v/>
      </c>
    </row>
    <row r="389">
      <c r="A389">
        <f>IF(C389="","","L-"&amp;TEXT(ROW()-1,"0000"))</f>
        <v/>
      </c>
      <c r="B389" s="2" t="n"/>
      <c r="D389" s="3" t="n"/>
      <c r="J389" s="2" t="n"/>
      <c r="K389" s="2" t="n"/>
      <c r="N389" s="4" t="n"/>
      <c r="V389">
        <f>IF(H389="",0,IFERROR(MATCH(H389,'רשימות'!$A$2:$A$13,0),0))</f>
        <v/>
      </c>
    </row>
    <row r="390">
      <c r="A390">
        <f>IF(C390="","","L-"&amp;TEXT(ROW()-1,"0000"))</f>
        <v/>
      </c>
      <c r="B390" s="2" t="n"/>
      <c r="D390" s="3" t="n"/>
      <c r="J390" s="2" t="n"/>
      <c r="K390" s="2" t="n"/>
      <c r="N390" s="4" t="n"/>
      <c r="V390">
        <f>IF(H390="",0,IFERROR(MATCH(H390,'רשימות'!$A$2:$A$13,0),0))</f>
        <v/>
      </c>
    </row>
    <row r="391">
      <c r="A391">
        <f>IF(C391="","","L-"&amp;TEXT(ROW()-1,"0000"))</f>
        <v/>
      </c>
      <c r="B391" s="2" t="n"/>
      <c r="D391" s="3" t="n"/>
      <c r="J391" s="2" t="n"/>
      <c r="K391" s="2" t="n"/>
      <c r="N391" s="4" t="n"/>
      <c r="V391">
        <f>IF(H391="",0,IFERROR(MATCH(H391,'רשימות'!$A$2:$A$13,0),0))</f>
        <v/>
      </c>
    </row>
    <row r="392">
      <c r="A392">
        <f>IF(C392="","","L-"&amp;TEXT(ROW()-1,"0000"))</f>
        <v/>
      </c>
      <c r="B392" s="2" t="n"/>
      <c r="D392" s="3" t="n"/>
      <c r="J392" s="2" t="n"/>
      <c r="K392" s="2" t="n"/>
      <c r="N392" s="4" t="n"/>
      <c r="V392">
        <f>IF(H392="",0,IFERROR(MATCH(H392,'רשימות'!$A$2:$A$13,0),0))</f>
        <v/>
      </c>
    </row>
    <row r="393">
      <c r="A393">
        <f>IF(C393="","","L-"&amp;TEXT(ROW()-1,"0000"))</f>
        <v/>
      </c>
      <c r="B393" s="2" t="n"/>
      <c r="D393" s="3" t="n"/>
      <c r="J393" s="2" t="n"/>
      <c r="K393" s="2" t="n"/>
      <c r="N393" s="4" t="n"/>
      <c r="V393">
        <f>IF(H393="",0,IFERROR(MATCH(H393,'רשימות'!$A$2:$A$13,0),0))</f>
        <v/>
      </c>
    </row>
    <row r="394">
      <c r="A394">
        <f>IF(C394="","","L-"&amp;TEXT(ROW()-1,"0000"))</f>
        <v/>
      </c>
      <c r="B394" s="2" t="n"/>
      <c r="D394" s="3" t="n"/>
      <c r="J394" s="2" t="n"/>
      <c r="K394" s="2" t="n"/>
      <c r="N394" s="4" t="n"/>
      <c r="V394">
        <f>IF(H394="",0,IFERROR(MATCH(H394,'רשימות'!$A$2:$A$13,0),0))</f>
        <v/>
      </c>
    </row>
    <row r="395">
      <c r="A395">
        <f>IF(C395="","","L-"&amp;TEXT(ROW()-1,"0000"))</f>
        <v/>
      </c>
      <c r="B395" s="2" t="n"/>
      <c r="D395" s="3" t="n"/>
      <c r="J395" s="2" t="n"/>
      <c r="K395" s="2" t="n"/>
      <c r="N395" s="4" t="n"/>
      <c r="V395">
        <f>IF(H395="",0,IFERROR(MATCH(H395,'רשימות'!$A$2:$A$13,0),0))</f>
        <v/>
      </c>
    </row>
    <row r="396">
      <c r="A396">
        <f>IF(C396="","","L-"&amp;TEXT(ROW()-1,"0000"))</f>
        <v/>
      </c>
      <c r="B396" s="2" t="n"/>
      <c r="D396" s="3" t="n"/>
      <c r="J396" s="2" t="n"/>
      <c r="K396" s="2" t="n"/>
      <c r="N396" s="4" t="n"/>
      <c r="V396">
        <f>IF(H396="",0,IFERROR(MATCH(H396,'רשימות'!$A$2:$A$13,0),0))</f>
        <v/>
      </c>
    </row>
    <row r="397">
      <c r="A397">
        <f>IF(C397="","","L-"&amp;TEXT(ROW()-1,"0000"))</f>
        <v/>
      </c>
      <c r="B397" s="2" t="n"/>
      <c r="D397" s="3" t="n"/>
      <c r="J397" s="2" t="n"/>
      <c r="K397" s="2" t="n"/>
      <c r="N397" s="4" t="n"/>
      <c r="V397">
        <f>IF(H397="",0,IFERROR(MATCH(H397,'רשימות'!$A$2:$A$13,0),0))</f>
        <v/>
      </c>
    </row>
    <row r="398">
      <c r="A398">
        <f>IF(C398="","","L-"&amp;TEXT(ROW()-1,"0000"))</f>
        <v/>
      </c>
      <c r="B398" s="2" t="n"/>
      <c r="D398" s="3" t="n"/>
      <c r="J398" s="2" t="n"/>
      <c r="K398" s="2" t="n"/>
      <c r="N398" s="4" t="n"/>
      <c r="V398">
        <f>IF(H398="",0,IFERROR(MATCH(H398,'רשימות'!$A$2:$A$13,0),0))</f>
        <v/>
      </c>
    </row>
    <row r="399">
      <c r="A399">
        <f>IF(C399="","","L-"&amp;TEXT(ROW()-1,"0000"))</f>
        <v/>
      </c>
      <c r="B399" s="2" t="n"/>
      <c r="D399" s="3" t="n"/>
      <c r="J399" s="2" t="n"/>
      <c r="K399" s="2" t="n"/>
      <c r="N399" s="4" t="n"/>
      <c r="V399">
        <f>IF(H399="",0,IFERROR(MATCH(H399,'רשימות'!$A$2:$A$13,0),0))</f>
        <v/>
      </c>
    </row>
    <row r="400">
      <c r="A400">
        <f>IF(C400="","","L-"&amp;TEXT(ROW()-1,"0000"))</f>
        <v/>
      </c>
      <c r="B400" s="2" t="n"/>
      <c r="D400" s="3" t="n"/>
      <c r="J400" s="2" t="n"/>
      <c r="K400" s="2" t="n"/>
      <c r="N400" s="4" t="n"/>
      <c r="V400">
        <f>IF(H400="",0,IFERROR(MATCH(H400,'רשימות'!$A$2:$A$13,0),0))</f>
        <v/>
      </c>
    </row>
    <row r="401">
      <c r="A401">
        <f>IF(C401="","","L-"&amp;TEXT(ROW()-1,"0000"))</f>
        <v/>
      </c>
      <c r="B401" s="2" t="n"/>
      <c r="D401" s="3" t="n"/>
      <c r="J401" s="2" t="n"/>
      <c r="K401" s="2" t="n"/>
      <c r="N401" s="4" t="n"/>
      <c r="V401">
        <f>IF(H401="",0,IFERROR(MATCH(H401,'רשימות'!$A$2:$A$13,0),0))</f>
        <v/>
      </c>
    </row>
    <row r="402">
      <c r="A402">
        <f>IF(C402="","","L-"&amp;TEXT(ROW()-1,"0000"))</f>
        <v/>
      </c>
      <c r="B402" s="2" t="n"/>
      <c r="D402" s="3" t="n"/>
      <c r="J402" s="2" t="n"/>
      <c r="K402" s="2" t="n"/>
      <c r="N402" s="4" t="n"/>
      <c r="V402">
        <f>IF(H402="",0,IFERROR(MATCH(H402,'רשימות'!$A$2:$A$13,0),0))</f>
        <v/>
      </c>
    </row>
    <row r="403">
      <c r="A403">
        <f>IF(C403="","","L-"&amp;TEXT(ROW()-1,"0000"))</f>
        <v/>
      </c>
      <c r="B403" s="2" t="n"/>
      <c r="D403" s="3" t="n"/>
      <c r="J403" s="2" t="n"/>
      <c r="K403" s="2" t="n"/>
      <c r="N403" s="4" t="n"/>
      <c r="V403">
        <f>IF(H403="",0,IFERROR(MATCH(H403,'רשימות'!$A$2:$A$13,0),0))</f>
        <v/>
      </c>
    </row>
    <row r="404">
      <c r="A404">
        <f>IF(C404="","","L-"&amp;TEXT(ROW()-1,"0000"))</f>
        <v/>
      </c>
      <c r="B404" s="2" t="n"/>
      <c r="D404" s="3" t="n"/>
      <c r="J404" s="2" t="n"/>
      <c r="K404" s="2" t="n"/>
      <c r="N404" s="4" t="n"/>
      <c r="V404">
        <f>IF(H404="",0,IFERROR(MATCH(H404,'רשימות'!$A$2:$A$13,0),0))</f>
        <v/>
      </c>
    </row>
    <row r="405">
      <c r="A405">
        <f>IF(C405="","","L-"&amp;TEXT(ROW()-1,"0000"))</f>
        <v/>
      </c>
      <c r="B405" s="2" t="n"/>
      <c r="D405" s="3" t="n"/>
      <c r="J405" s="2" t="n"/>
      <c r="K405" s="2" t="n"/>
      <c r="N405" s="4" t="n"/>
      <c r="V405">
        <f>IF(H405="",0,IFERROR(MATCH(H405,'רשימות'!$A$2:$A$13,0),0))</f>
        <v/>
      </c>
    </row>
    <row r="406">
      <c r="A406">
        <f>IF(C406="","","L-"&amp;TEXT(ROW()-1,"0000"))</f>
        <v/>
      </c>
      <c r="B406" s="2" t="n"/>
      <c r="D406" s="3" t="n"/>
      <c r="J406" s="2" t="n"/>
      <c r="K406" s="2" t="n"/>
      <c r="N406" s="4" t="n"/>
      <c r="V406">
        <f>IF(H406="",0,IFERROR(MATCH(H406,'רשימות'!$A$2:$A$13,0),0))</f>
        <v/>
      </c>
    </row>
    <row r="407">
      <c r="A407">
        <f>IF(C407="","","L-"&amp;TEXT(ROW()-1,"0000"))</f>
        <v/>
      </c>
      <c r="B407" s="2" t="n"/>
      <c r="D407" s="3" t="n"/>
      <c r="J407" s="2" t="n"/>
      <c r="K407" s="2" t="n"/>
      <c r="N407" s="4" t="n"/>
      <c r="V407">
        <f>IF(H407="",0,IFERROR(MATCH(H407,'רשימות'!$A$2:$A$13,0),0))</f>
        <v/>
      </c>
    </row>
    <row r="408">
      <c r="A408">
        <f>IF(C408="","","L-"&amp;TEXT(ROW()-1,"0000"))</f>
        <v/>
      </c>
      <c r="B408" s="2" t="n"/>
      <c r="D408" s="3" t="n"/>
      <c r="J408" s="2" t="n"/>
      <c r="K408" s="2" t="n"/>
      <c r="N408" s="4" t="n"/>
      <c r="V408">
        <f>IF(H408="",0,IFERROR(MATCH(H408,'רשימות'!$A$2:$A$13,0),0))</f>
        <v/>
      </c>
    </row>
    <row r="409">
      <c r="A409">
        <f>IF(C409="","","L-"&amp;TEXT(ROW()-1,"0000"))</f>
        <v/>
      </c>
      <c r="B409" s="2" t="n"/>
      <c r="D409" s="3" t="n"/>
      <c r="J409" s="2" t="n"/>
      <c r="K409" s="2" t="n"/>
      <c r="N409" s="4" t="n"/>
      <c r="V409">
        <f>IF(H409="",0,IFERROR(MATCH(H409,'רשימות'!$A$2:$A$13,0),0))</f>
        <v/>
      </c>
    </row>
    <row r="410">
      <c r="A410">
        <f>IF(C410="","","L-"&amp;TEXT(ROW()-1,"0000"))</f>
        <v/>
      </c>
      <c r="B410" s="2" t="n"/>
      <c r="D410" s="3" t="n"/>
      <c r="J410" s="2" t="n"/>
      <c r="K410" s="2" t="n"/>
      <c r="N410" s="4" t="n"/>
      <c r="V410">
        <f>IF(H410="",0,IFERROR(MATCH(H410,'רשימות'!$A$2:$A$13,0),0))</f>
        <v/>
      </c>
    </row>
    <row r="411">
      <c r="A411">
        <f>IF(C411="","","L-"&amp;TEXT(ROW()-1,"0000"))</f>
        <v/>
      </c>
      <c r="B411" s="2" t="n"/>
      <c r="D411" s="3" t="n"/>
      <c r="J411" s="2" t="n"/>
      <c r="K411" s="2" t="n"/>
      <c r="N411" s="4" t="n"/>
      <c r="V411">
        <f>IF(H411="",0,IFERROR(MATCH(H411,'רשימות'!$A$2:$A$13,0),0))</f>
        <v/>
      </c>
    </row>
    <row r="412">
      <c r="A412">
        <f>IF(C412="","","L-"&amp;TEXT(ROW()-1,"0000"))</f>
        <v/>
      </c>
      <c r="B412" s="2" t="n"/>
      <c r="D412" s="3" t="n"/>
      <c r="J412" s="2" t="n"/>
      <c r="K412" s="2" t="n"/>
      <c r="N412" s="4" t="n"/>
      <c r="V412">
        <f>IF(H412="",0,IFERROR(MATCH(H412,'רשימות'!$A$2:$A$13,0),0))</f>
        <v/>
      </c>
    </row>
    <row r="413">
      <c r="A413">
        <f>IF(C413="","","L-"&amp;TEXT(ROW()-1,"0000"))</f>
        <v/>
      </c>
      <c r="B413" s="2" t="n"/>
      <c r="D413" s="3" t="n"/>
      <c r="J413" s="2" t="n"/>
      <c r="K413" s="2" t="n"/>
      <c r="N413" s="4" t="n"/>
      <c r="V413">
        <f>IF(H413="",0,IFERROR(MATCH(H413,'רשימות'!$A$2:$A$13,0),0))</f>
        <v/>
      </c>
    </row>
    <row r="414">
      <c r="A414">
        <f>IF(C414="","","L-"&amp;TEXT(ROW()-1,"0000"))</f>
        <v/>
      </c>
      <c r="B414" s="2" t="n"/>
      <c r="D414" s="3" t="n"/>
      <c r="J414" s="2" t="n"/>
      <c r="K414" s="2" t="n"/>
      <c r="N414" s="4" t="n"/>
      <c r="V414">
        <f>IF(H414="",0,IFERROR(MATCH(H414,'רשימות'!$A$2:$A$13,0),0))</f>
        <v/>
      </c>
    </row>
    <row r="415">
      <c r="A415">
        <f>IF(C415="","","L-"&amp;TEXT(ROW()-1,"0000"))</f>
        <v/>
      </c>
      <c r="B415" s="2" t="n"/>
      <c r="D415" s="3" t="n"/>
      <c r="J415" s="2" t="n"/>
      <c r="K415" s="2" t="n"/>
      <c r="N415" s="4" t="n"/>
      <c r="V415">
        <f>IF(H415="",0,IFERROR(MATCH(H415,'רשימות'!$A$2:$A$13,0),0))</f>
        <v/>
      </c>
    </row>
    <row r="416">
      <c r="A416">
        <f>IF(C416="","","L-"&amp;TEXT(ROW()-1,"0000"))</f>
        <v/>
      </c>
      <c r="B416" s="2" t="n"/>
      <c r="D416" s="3" t="n"/>
      <c r="J416" s="2" t="n"/>
      <c r="K416" s="2" t="n"/>
      <c r="N416" s="4" t="n"/>
      <c r="V416">
        <f>IF(H416="",0,IFERROR(MATCH(H416,'רשימות'!$A$2:$A$13,0),0))</f>
        <v/>
      </c>
    </row>
    <row r="417">
      <c r="A417">
        <f>IF(C417="","","L-"&amp;TEXT(ROW()-1,"0000"))</f>
        <v/>
      </c>
      <c r="B417" s="2" t="n"/>
      <c r="D417" s="3" t="n"/>
      <c r="J417" s="2" t="n"/>
      <c r="K417" s="2" t="n"/>
      <c r="N417" s="4" t="n"/>
      <c r="V417">
        <f>IF(H417="",0,IFERROR(MATCH(H417,'רשימות'!$A$2:$A$13,0),0))</f>
        <v/>
      </c>
    </row>
    <row r="418">
      <c r="A418">
        <f>IF(C418="","","L-"&amp;TEXT(ROW()-1,"0000"))</f>
        <v/>
      </c>
      <c r="B418" s="2" t="n"/>
      <c r="D418" s="3" t="n"/>
      <c r="J418" s="2" t="n"/>
      <c r="K418" s="2" t="n"/>
      <c r="N418" s="4" t="n"/>
      <c r="V418">
        <f>IF(H418="",0,IFERROR(MATCH(H418,'רשימות'!$A$2:$A$13,0),0))</f>
        <v/>
      </c>
    </row>
    <row r="419">
      <c r="A419">
        <f>IF(C419="","","L-"&amp;TEXT(ROW()-1,"0000"))</f>
        <v/>
      </c>
      <c r="B419" s="2" t="n"/>
      <c r="D419" s="3" t="n"/>
      <c r="J419" s="2" t="n"/>
      <c r="K419" s="2" t="n"/>
      <c r="N419" s="4" t="n"/>
      <c r="V419">
        <f>IF(H419="",0,IFERROR(MATCH(H419,'רשימות'!$A$2:$A$13,0),0))</f>
        <v/>
      </c>
    </row>
    <row r="420">
      <c r="A420">
        <f>IF(C420="","","L-"&amp;TEXT(ROW()-1,"0000"))</f>
        <v/>
      </c>
      <c r="B420" s="2" t="n"/>
      <c r="D420" s="3" t="n"/>
      <c r="J420" s="2" t="n"/>
      <c r="K420" s="2" t="n"/>
      <c r="N420" s="4" t="n"/>
      <c r="V420">
        <f>IF(H420="",0,IFERROR(MATCH(H420,'רשימות'!$A$2:$A$13,0),0))</f>
        <v/>
      </c>
    </row>
    <row r="421">
      <c r="A421">
        <f>IF(C421="","","L-"&amp;TEXT(ROW()-1,"0000"))</f>
        <v/>
      </c>
      <c r="B421" s="2" t="n"/>
      <c r="D421" s="3" t="n"/>
      <c r="J421" s="2" t="n"/>
      <c r="K421" s="2" t="n"/>
      <c r="N421" s="4" t="n"/>
      <c r="V421">
        <f>IF(H421="",0,IFERROR(MATCH(H421,'רשימות'!$A$2:$A$13,0),0))</f>
        <v/>
      </c>
    </row>
    <row r="422">
      <c r="A422">
        <f>IF(C422="","","L-"&amp;TEXT(ROW()-1,"0000"))</f>
        <v/>
      </c>
      <c r="B422" s="2" t="n"/>
      <c r="D422" s="3" t="n"/>
      <c r="J422" s="2" t="n"/>
      <c r="K422" s="2" t="n"/>
      <c r="N422" s="4" t="n"/>
      <c r="V422">
        <f>IF(H422="",0,IFERROR(MATCH(H422,'רשימות'!$A$2:$A$13,0),0))</f>
        <v/>
      </c>
    </row>
    <row r="423">
      <c r="A423">
        <f>IF(C423="","","L-"&amp;TEXT(ROW()-1,"0000"))</f>
        <v/>
      </c>
      <c r="B423" s="2" t="n"/>
      <c r="D423" s="3" t="n"/>
      <c r="J423" s="2" t="n"/>
      <c r="K423" s="2" t="n"/>
      <c r="N423" s="4" t="n"/>
      <c r="V423">
        <f>IF(H423="",0,IFERROR(MATCH(H423,'רשימות'!$A$2:$A$13,0),0))</f>
        <v/>
      </c>
    </row>
    <row r="424">
      <c r="A424">
        <f>IF(C424="","","L-"&amp;TEXT(ROW()-1,"0000"))</f>
        <v/>
      </c>
      <c r="B424" s="2" t="n"/>
      <c r="D424" s="3" t="n"/>
      <c r="J424" s="2" t="n"/>
      <c r="K424" s="2" t="n"/>
      <c r="N424" s="4" t="n"/>
      <c r="V424">
        <f>IF(H424="",0,IFERROR(MATCH(H424,'רשימות'!$A$2:$A$13,0),0))</f>
        <v/>
      </c>
    </row>
    <row r="425">
      <c r="A425">
        <f>IF(C425="","","L-"&amp;TEXT(ROW()-1,"0000"))</f>
        <v/>
      </c>
      <c r="B425" s="2" t="n"/>
      <c r="D425" s="3" t="n"/>
      <c r="J425" s="2" t="n"/>
      <c r="K425" s="2" t="n"/>
      <c r="N425" s="4" t="n"/>
      <c r="V425">
        <f>IF(H425="",0,IFERROR(MATCH(H425,'רשימות'!$A$2:$A$13,0),0))</f>
        <v/>
      </c>
    </row>
    <row r="426">
      <c r="A426">
        <f>IF(C426="","","L-"&amp;TEXT(ROW()-1,"0000"))</f>
        <v/>
      </c>
      <c r="B426" s="2" t="n"/>
      <c r="D426" s="3" t="n"/>
      <c r="J426" s="2" t="n"/>
      <c r="K426" s="2" t="n"/>
      <c r="N426" s="4" t="n"/>
      <c r="V426">
        <f>IF(H426="",0,IFERROR(MATCH(H426,'רשימות'!$A$2:$A$13,0),0))</f>
        <v/>
      </c>
    </row>
    <row r="427">
      <c r="A427">
        <f>IF(C427="","","L-"&amp;TEXT(ROW()-1,"0000"))</f>
        <v/>
      </c>
      <c r="B427" s="2" t="n"/>
      <c r="D427" s="3" t="n"/>
      <c r="J427" s="2" t="n"/>
      <c r="K427" s="2" t="n"/>
      <c r="N427" s="4" t="n"/>
      <c r="V427">
        <f>IF(H427="",0,IFERROR(MATCH(H427,'רשימות'!$A$2:$A$13,0),0))</f>
        <v/>
      </c>
    </row>
    <row r="428">
      <c r="A428">
        <f>IF(C428="","","L-"&amp;TEXT(ROW()-1,"0000"))</f>
        <v/>
      </c>
      <c r="B428" s="2" t="n"/>
      <c r="D428" s="3" t="n"/>
      <c r="J428" s="2" t="n"/>
      <c r="K428" s="2" t="n"/>
      <c r="N428" s="4" t="n"/>
      <c r="V428">
        <f>IF(H428="",0,IFERROR(MATCH(H428,'רשימות'!$A$2:$A$13,0),0))</f>
        <v/>
      </c>
    </row>
    <row r="429">
      <c r="A429">
        <f>IF(C429="","","L-"&amp;TEXT(ROW()-1,"0000"))</f>
        <v/>
      </c>
      <c r="B429" s="2" t="n"/>
      <c r="D429" s="3" t="n"/>
      <c r="J429" s="2" t="n"/>
      <c r="K429" s="2" t="n"/>
      <c r="N429" s="4" t="n"/>
      <c r="V429">
        <f>IF(H429="",0,IFERROR(MATCH(H429,'רשימות'!$A$2:$A$13,0),0))</f>
        <v/>
      </c>
    </row>
    <row r="430">
      <c r="A430">
        <f>IF(C430="","","L-"&amp;TEXT(ROW()-1,"0000"))</f>
        <v/>
      </c>
      <c r="B430" s="2" t="n"/>
      <c r="D430" s="3" t="n"/>
      <c r="J430" s="2" t="n"/>
      <c r="K430" s="2" t="n"/>
      <c r="N430" s="4" t="n"/>
      <c r="V430">
        <f>IF(H430="",0,IFERROR(MATCH(H430,'רשימות'!$A$2:$A$13,0),0))</f>
        <v/>
      </c>
    </row>
    <row r="431">
      <c r="A431">
        <f>IF(C431="","","L-"&amp;TEXT(ROW()-1,"0000"))</f>
        <v/>
      </c>
      <c r="B431" s="2" t="n"/>
      <c r="D431" s="3" t="n"/>
      <c r="J431" s="2" t="n"/>
      <c r="K431" s="2" t="n"/>
      <c r="N431" s="4" t="n"/>
      <c r="V431">
        <f>IF(H431="",0,IFERROR(MATCH(H431,'רשימות'!$A$2:$A$13,0),0))</f>
        <v/>
      </c>
    </row>
    <row r="432">
      <c r="A432">
        <f>IF(C432="","","L-"&amp;TEXT(ROW()-1,"0000"))</f>
        <v/>
      </c>
      <c r="B432" s="2" t="n"/>
      <c r="D432" s="3" t="n"/>
      <c r="J432" s="2" t="n"/>
      <c r="K432" s="2" t="n"/>
      <c r="N432" s="4" t="n"/>
      <c r="V432">
        <f>IF(H432="",0,IFERROR(MATCH(H432,'רשימות'!$A$2:$A$13,0),0))</f>
        <v/>
      </c>
    </row>
    <row r="433">
      <c r="A433">
        <f>IF(C433="","","L-"&amp;TEXT(ROW()-1,"0000"))</f>
        <v/>
      </c>
      <c r="B433" s="2" t="n"/>
      <c r="D433" s="3" t="n"/>
      <c r="J433" s="2" t="n"/>
      <c r="K433" s="2" t="n"/>
      <c r="N433" s="4" t="n"/>
      <c r="V433">
        <f>IF(H433="",0,IFERROR(MATCH(H433,'רשימות'!$A$2:$A$13,0),0))</f>
        <v/>
      </c>
    </row>
    <row r="434">
      <c r="A434">
        <f>IF(C434="","","L-"&amp;TEXT(ROW()-1,"0000"))</f>
        <v/>
      </c>
      <c r="B434" s="2" t="n"/>
      <c r="D434" s="3" t="n"/>
      <c r="J434" s="2" t="n"/>
      <c r="K434" s="2" t="n"/>
      <c r="N434" s="4" t="n"/>
      <c r="V434">
        <f>IF(H434="",0,IFERROR(MATCH(H434,'רשימות'!$A$2:$A$13,0),0))</f>
        <v/>
      </c>
    </row>
    <row r="435">
      <c r="A435">
        <f>IF(C435="","","L-"&amp;TEXT(ROW()-1,"0000"))</f>
        <v/>
      </c>
      <c r="B435" s="2" t="n"/>
      <c r="D435" s="3" t="n"/>
      <c r="J435" s="2" t="n"/>
      <c r="K435" s="2" t="n"/>
      <c r="N435" s="4" t="n"/>
      <c r="V435">
        <f>IF(H435="",0,IFERROR(MATCH(H435,'רשימות'!$A$2:$A$13,0),0))</f>
        <v/>
      </c>
    </row>
    <row r="436">
      <c r="A436">
        <f>IF(C436="","","L-"&amp;TEXT(ROW()-1,"0000"))</f>
        <v/>
      </c>
      <c r="B436" s="2" t="n"/>
      <c r="D436" s="3" t="n"/>
      <c r="J436" s="2" t="n"/>
      <c r="K436" s="2" t="n"/>
      <c r="N436" s="4" t="n"/>
      <c r="V436">
        <f>IF(H436="",0,IFERROR(MATCH(H436,'רשימות'!$A$2:$A$13,0),0))</f>
        <v/>
      </c>
    </row>
    <row r="437">
      <c r="A437">
        <f>IF(C437="","","L-"&amp;TEXT(ROW()-1,"0000"))</f>
        <v/>
      </c>
      <c r="B437" s="2" t="n"/>
      <c r="D437" s="3" t="n"/>
      <c r="J437" s="2" t="n"/>
      <c r="K437" s="2" t="n"/>
      <c r="N437" s="4" t="n"/>
      <c r="V437">
        <f>IF(H437="",0,IFERROR(MATCH(H437,'רשימות'!$A$2:$A$13,0),0))</f>
        <v/>
      </c>
    </row>
    <row r="438">
      <c r="A438">
        <f>IF(C438="","","L-"&amp;TEXT(ROW()-1,"0000"))</f>
        <v/>
      </c>
      <c r="B438" s="2" t="n"/>
      <c r="D438" s="3" t="n"/>
      <c r="J438" s="2" t="n"/>
      <c r="K438" s="2" t="n"/>
      <c r="N438" s="4" t="n"/>
      <c r="V438">
        <f>IF(H438="",0,IFERROR(MATCH(H438,'רשימות'!$A$2:$A$13,0),0))</f>
        <v/>
      </c>
    </row>
    <row r="439">
      <c r="A439">
        <f>IF(C439="","","L-"&amp;TEXT(ROW()-1,"0000"))</f>
        <v/>
      </c>
      <c r="B439" s="2" t="n"/>
      <c r="D439" s="3" t="n"/>
      <c r="J439" s="2" t="n"/>
      <c r="K439" s="2" t="n"/>
      <c r="N439" s="4" t="n"/>
      <c r="V439">
        <f>IF(H439="",0,IFERROR(MATCH(H439,'רשימות'!$A$2:$A$13,0),0))</f>
        <v/>
      </c>
    </row>
    <row r="440">
      <c r="A440">
        <f>IF(C440="","","L-"&amp;TEXT(ROW()-1,"0000"))</f>
        <v/>
      </c>
      <c r="B440" s="2" t="n"/>
      <c r="D440" s="3" t="n"/>
      <c r="J440" s="2" t="n"/>
      <c r="K440" s="2" t="n"/>
      <c r="N440" s="4" t="n"/>
      <c r="V440">
        <f>IF(H440="",0,IFERROR(MATCH(H440,'רשימות'!$A$2:$A$13,0),0))</f>
        <v/>
      </c>
    </row>
    <row r="441">
      <c r="A441">
        <f>IF(C441="","","L-"&amp;TEXT(ROW()-1,"0000"))</f>
        <v/>
      </c>
      <c r="B441" s="2" t="n"/>
      <c r="D441" s="3" t="n"/>
      <c r="J441" s="2" t="n"/>
      <c r="K441" s="2" t="n"/>
      <c r="N441" s="4" t="n"/>
      <c r="V441">
        <f>IF(H441="",0,IFERROR(MATCH(H441,'רשימות'!$A$2:$A$13,0),0))</f>
        <v/>
      </c>
    </row>
    <row r="442">
      <c r="A442">
        <f>IF(C442="","","L-"&amp;TEXT(ROW()-1,"0000"))</f>
        <v/>
      </c>
      <c r="B442" s="2" t="n"/>
      <c r="D442" s="3" t="n"/>
      <c r="J442" s="2" t="n"/>
      <c r="K442" s="2" t="n"/>
      <c r="N442" s="4" t="n"/>
      <c r="V442">
        <f>IF(H442="",0,IFERROR(MATCH(H442,'רשימות'!$A$2:$A$13,0),0))</f>
        <v/>
      </c>
    </row>
    <row r="443">
      <c r="A443">
        <f>IF(C443="","","L-"&amp;TEXT(ROW()-1,"0000"))</f>
        <v/>
      </c>
      <c r="B443" s="2" t="n"/>
      <c r="D443" s="3" t="n"/>
      <c r="J443" s="2" t="n"/>
      <c r="K443" s="2" t="n"/>
      <c r="N443" s="4" t="n"/>
      <c r="V443">
        <f>IF(H443="",0,IFERROR(MATCH(H443,'רשימות'!$A$2:$A$13,0),0))</f>
        <v/>
      </c>
    </row>
    <row r="444">
      <c r="A444">
        <f>IF(C444="","","L-"&amp;TEXT(ROW()-1,"0000"))</f>
        <v/>
      </c>
      <c r="B444" s="2" t="n"/>
      <c r="D444" s="3" t="n"/>
      <c r="J444" s="2" t="n"/>
      <c r="K444" s="2" t="n"/>
      <c r="N444" s="4" t="n"/>
      <c r="V444">
        <f>IF(H444="",0,IFERROR(MATCH(H444,'רשימות'!$A$2:$A$13,0),0))</f>
        <v/>
      </c>
    </row>
    <row r="445">
      <c r="A445">
        <f>IF(C445="","","L-"&amp;TEXT(ROW()-1,"0000"))</f>
        <v/>
      </c>
      <c r="B445" s="2" t="n"/>
      <c r="D445" s="3" t="n"/>
      <c r="J445" s="2" t="n"/>
      <c r="K445" s="2" t="n"/>
      <c r="N445" s="4" t="n"/>
      <c r="V445">
        <f>IF(H445="",0,IFERROR(MATCH(H445,'רשימות'!$A$2:$A$13,0),0))</f>
        <v/>
      </c>
    </row>
    <row r="446">
      <c r="A446">
        <f>IF(C446="","","L-"&amp;TEXT(ROW()-1,"0000"))</f>
        <v/>
      </c>
      <c r="B446" s="2" t="n"/>
      <c r="D446" s="3" t="n"/>
      <c r="J446" s="2" t="n"/>
      <c r="K446" s="2" t="n"/>
      <c r="N446" s="4" t="n"/>
      <c r="V446">
        <f>IF(H446="",0,IFERROR(MATCH(H446,'רשימות'!$A$2:$A$13,0),0))</f>
        <v/>
      </c>
    </row>
    <row r="447">
      <c r="A447">
        <f>IF(C447="","","L-"&amp;TEXT(ROW()-1,"0000"))</f>
        <v/>
      </c>
      <c r="B447" s="2" t="n"/>
      <c r="D447" s="3" t="n"/>
      <c r="J447" s="2" t="n"/>
      <c r="K447" s="2" t="n"/>
      <c r="N447" s="4" t="n"/>
      <c r="V447">
        <f>IF(H447="",0,IFERROR(MATCH(H447,'רשימות'!$A$2:$A$13,0),0))</f>
        <v/>
      </c>
    </row>
    <row r="448">
      <c r="A448">
        <f>IF(C448="","","L-"&amp;TEXT(ROW()-1,"0000"))</f>
        <v/>
      </c>
      <c r="B448" s="2" t="n"/>
      <c r="D448" s="3" t="n"/>
      <c r="J448" s="2" t="n"/>
      <c r="K448" s="2" t="n"/>
      <c r="N448" s="4" t="n"/>
      <c r="V448">
        <f>IF(H448="",0,IFERROR(MATCH(H448,'רשימות'!$A$2:$A$13,0),0))</f>
        <v/>
      </c>
    </row>
    <row r="449">
      <c r="A449">
        <f>IF(C449="","","L-"&amp;TEXT(ROW()-1,"0000"))</f>
        <v/>
      </c>
      <c r="B449" s="2" t="n"/>
      <c r="D449" s="3" t="n"/>
      <c r="J449" s="2" t="n"/>
      <c r="K449" s="2" t="n"/>
      <c r="N449" s="4" t="n"/>
      <c r="V449">
        <f>IF(H449="",0,IFERROR(MATCH(H449,'רשימות'!$A$2:$A$13,0),0))</f>
        <v/>
      </c>
    </row>
    <row r="450">
      <c r="A450">
        <f>IF(C450="","","L-"&amp;TEXT(ROW()-1,"0000"))</f>
        <v/>
      </c>
      <c r="B450" s="2" t="n"/>
      <c r="D450" s="3" t="n"/>
      <c r="J450" s="2" t="n"/>
      <c r="K450" s="2" t="n"/>
      <c r="N450" s="4" t="n"/>
      <c r="V450">
        <f>IF(H450="",0,IFERROR(MATCH(H450,'רשימות'!$A$2:$A$13,0),0))</f>
        <v/>
      </c>
    </row>
    <row r="451">
      <c r="A451">
        <f>IF(C451="","","L-"&amp;TEXT(ROW()-1,"0000"))</f>
        <v/>
      </c>
      <c r="B451" s="2" t="n"/>
      <c r="D451" s="3" t="n"/>
      <c r="J451" s="2" t="n"/>
      <c r="K451" s="2" t="n"/>
      <c r="N451" s="4" t="n"/>
      <c r="V451">
        <f>IF(H451="",0,IFERROR(MATCH(H451,'רשימות'!$A$2:$A$13,0),0))</f>
        <v/>
      </c>
    </row>
    <row r="452">
      <c r="A452">
        <f>IF(C452="","","L-"&amp;TEXT(ROW()-1,"0000"))</f>
        <v/>
      </c>
      <c r="B452" s="2" t="n"/>
      <c r="D452" s="3" t="n"/>
      <c r="J452" s="2" t="n"/>
      <c r="K452" s="2" t="n"/>
      <c r="N452" s="4" t="n"/>
      <c r="V452">
        <f>IF(H452="",0,IFERROR(MATCH(H452,'רשימות'!$A$2:$A$13,0),0))</f>
        <v/>
      </c>
    </row>
    <row r="453">
      <c r="A453">
        <f>IF(C453="","","L-"&amp;TEXT(ROW()-1,"0000"))</f>
        <v/>
      </c>
      <c r="B453" s="2" t="n"/>
      <c r="D453" s="3" t="n"/>
      <c r="J453" s="2" t="n"/>
      <c r="K453" s="2" t="n"/>
      <c r="N453" s="4" t="n"/>
      <c r="V453">
        <f>IF(H453="",0,IFERROR(MATCH(H453,'רשימות'!$A$2:$A$13,0),0))</f>
        <v/>
      </c>
    </row>
    <row r="454">
      <c r="A454">
        <f>IF(C454="","","L-"&amp;TEXT(ROW()-1,"0000"))</f>
        <v/>
      </c>
      <c r="B454" s="2" t="n"/>
      <c r="D454" s="3" t="n"/>
      <c r="J454" s="2" t="n"/>
      <c r="K454" s="2" t="n"/>
      <c r="N454" s="4" t="n"/>
      <c r="V454">
        <f>IF(H454="",0,IFERROR(MATCH(H454,'רשימות'!$A$2:$A$13,0),0))</f>
        <v/>
      </c>
    </row>
    <row r="455">
      <c r="A455">
        <f>IF(C455="","","L-"&amp;TEXT(ROW()-1,"0000"))</f>
        <v/>
      </c>
      <c r="B455" s="2" t="n"/>
      <c r="D455" s="3" t="n"/>
      <c r="J455" s="2" t="n"/>
      <c r="K455" s="2" t="n"/>
      <c r="N455" s="4" t="n"/>
      <c r="V455">
        <f>IF(H455="",0,IFERROR(MATCH(H455,'רשימות'!$A$2:$A$13,0),0))</f>
        <v/>
      </c>
    </row>
    <row r="456">
      <c r="A456">
        <f>IF(C456="","","L-"&amp;TEXT(ROW()-1,"0000"))</f>
        <v/>
      </c>
      <c r="B456" s="2" t="n"/>
      <c r="D456" s="3" t="n"/>
      <c r="J456" s="2" t="n"/>
      <c r="K456" s="2" t="n"/>
      <c r="N456" s="4" t="n"/>
      <c r="V456">
        <f>IF(H456="",0,IFERROR(MATCH(H456,'רשימות'!$A$2:$A$13,0),0))</f>
        <v/>
      </c>
    </row>
    <row r="457">
      <c r="A457">
        <f>IF(C457="","","L-"&amp;TEXT(ROW()-1,"0000"))</f>
        <v/>
      </c>
      <c r="B457" s="2" t="n"/>
      <c r="D457" s="3" t="n"/>
      <c r="J457" s="2" t="n"/>
      <c r="K457" s="2" t="n"/>
      <c r="N457" s="4" t="n"/>
      <c r="V457">
        <f>IF(H457="",0,IFERROR(MATCH(H457,'רשימות'!$A$2:$A$13,0),0))</f>
        <v/>
      </c>
    </row>
    <row r="458">
      <c r="A458">
        <f>IF(C458="","","L-"&amp;TEXT(ROW()-1,"0000"))</f>
        <v/>
      </c>
      <c r="B458" s="2" t="n"/>
      <c r="D458" s="3" t="n"/>
      <c r="J458" s="2" t="n"/>
      <c r="K458" s="2" t="n"/>
      <c r="N458" s="4" t="n"/>
      <c r="V458">
        <f>IF(H458="",0,IFERROR(MATCH(H458,'רשימות'!$A$2:$A$13,0),0))</f>
        <v/>
      </c>
    </row>
    <row r="459">
      <c r="A459">
        <f>IF(C459="","","L-"&amp;TEXT(ROW()-1,"0000"))</f>
        <v/>
      </c>
      <c r="B459" s="2" t="n"/>
      <c r="D459" s="3" t="n"/>
      <c r="J459" s="2" t="n"/>
      <c r="K459" s="2" t="n"/>
      <c r="N459" s="4" t="n"/>
      <c r="V459">
        <f>IF(H459="",0,IFERROR(MATCH(H459,'רשימות'!$A$2:$A$13,0),0))</f>
        <v/>
      </c>
    </row>
    <row r="460">
      <c r="A460">
        <f>IF(C460="","","L-"&amp;TEXT(ROW()-1,"0000"))</f>
        <v/>
      </c>
      <c r="B460" s="2" t="n"/>
      <c r="D460" s="3" t="n"/>
      <c r="J460" s="2" t="n"/>
      <c r="K460" s="2" t="n"/>
      <c r="N460" s="4" t="n"/>
      <c r="V460">
        <f>IF(H460="",0,IFERROR(MATCH(H460,'רשימות'!$A$2:$A$13,0),0))</f>
        <v/>
      </c>
    </row>
    <row r="461">
      <c r="A461">
        <f>IF(C461="","","L-"&amp;TEXT(ROW()-1,"0000"))</f>
        <v/>
      </c>
      <c r="B461" s="2" t="n"/>
      <c r="D461" s="3" t="n"/>
      <c r="J461" s="2" t="n"/>
      <c r="K461" s="2" t="n"/>
      <c r="N461" s="4" t="n"/>
      <c r="V461">
        <f>IF(H461="",0,IFERROR(MATCH(H461,'רשימות'!$A$2:$A$13,0),0))</f>
        <v/>
      </c>
    </row>
    <row r="462">
      <c r="A462">
        <f>IF(C462="","","L-"&amp;TEXT(ROW()-1,"0000"))</f>
        <v/>
      </c>
      <c r="B462" s="2" t="n"/>
      <c r="D462" s="3" t="n"/>
      <c r="J462" s="2" t="n"/>
      <c r="K462" s="2" t="n"/>
      <c r="N462" s="4" t="n"/>
      <c r="V462">
        <f>IF(H462="",0,IFERROR(MATCH(H462,'רשימות'!$A$2:$A$13,0),0))</f>
        <v/>
      </c>
    </row>
    <row r="463">
      <c r="A463">
        <f>IF(C463="","","L-"&amp;TEXT(ROW()-1,"0000"))</f>
        <v/>
      </c>
      <c r="B463" s="2" t="n"/>
      <c r="D463" s="3" t="n"/>
      <c r="J463" s="2" t="n"/>
      <c r="K463" s="2" t="n"/>
      <c r="N463" s="4" t="n"/>
      <c r="V463">
        <f>IF(H463="",0,IFERROR(MATCH(H463,'רשימות'!$A$2:$A$13,0),0))</f>
        <v/>
      </c>
    </row>
    <row r="464">
      <c r="A464">
        <f>IF(C464="","","L-"&amp;TEXT(ROW()-1,"0000"))</f>
        <v/>
      </c>
      <c r="B464" s="2" t="n"/>
      <c r="D464" s="3" t="n"/>
      <c r="J464" s="2" t="n"/>
      <c r="K464" s="2" t="n"/>
      <c r="N464" s="4" t="n"/>
      <c r="V464">
        <f>IF(H464="",0,IFERROR(MATCH(H464,'רשימות'!$A$2:$A$13,0),0))</f>
        <v/>
      </c>
    </row>
    <row r="465">
      <c r="A465">
        <f>IF(C465="","","L-"&amp;TEXT(ROW()-1,"0000"))</f>
        <v/>
      </c>
      <c r="B465" s="2" t="n"/>
      <c r="D465" s="3" t="n"/>
      <c r="J465" s="2" t="n"/>
      <c r="K465" s="2" t="n"/>
      <c r="N465" s="4" t="n"/>
      <c r="V465">
        <f>IF(H465="",0,IFERROR(MATCH(H465,'רשימות'!$A$2:$A$13,0),0))</f>
        <v/>
      </c>
    </row>
    <row r="466">
      <c r="A466">
        <f>IF(C466="","","L-"&amp;TEXT(ROW()-1,"0000"))</f>
        <v/>
      </c>
      <c r="B466" s="2" t="n"/>
      <c r="D466" s="3" t="n"/>
      <c r="J466" s="2" t="n"/>
      <c r="K466" s="2" t="n"/>
      <c r="N466" s="4" t="n"/>
      <c r="V466">
        <f>IF(H466="",0,IFERROR(MATCH(H466,'רשימות'!$A$2:$A$13,0),0))</f>
        <v/>
      </c>
    </row>
    <row r="467">
      <c r="A467">
        <f>IF(C467="","","L-"&amp;TEXT(ROW()-1,"0000"))</f>
        <v/>
      </c>
      <c r="B467" s="2" t="n"/>
      <c r="D467" s="3" t="n"/>
      <c r="J467" s="2" t="n"/>
      <c r="K467" s="2" t="n"/>
      <c r="N467" s="4" t="n"/>
      <c r="V467">
        <f>IF(H467="",0,IFERROR(MATCH(H467,'רשימות'!$A$2:$A$13,0),0))</f>
        <v/>
      </c>
    </row>
    <row r="468">
      <c r="A468">
        <f>IF(C468="","","L-"&amp;TEXT(ROW()-1,"0000"))</f>
        <v/>
      </c>
      <c r="B468" s="2" t="n"/>
      <c r="D468" s="3" t="n"/>
      <c r="J468" s="2" t="n"/>
      <c r="K468" s="2" t="n"/>
      <c r="N468" s="4" t="n"/>
      <c r="V468">
        <f>IF(H468="",0,IFERROR(MATCH(H468,'רשימות'!$A$2:$A$13,0),0))</f>
        <v/>
      </c>
    </row>
    <row r="469">
      <c r="A469">
        <f>IF(C469="","","L-"&amp;TEXT(ROW()-1,"0000"))</f>
        <v/>
      </c>
      <c r="B469" s="2" t="n"/>
      <c r="D469" s="3" t="n"/>
      <c r="J469" s="2" t="n"/>
      <c r="K469" s="2" t="n"/>
      <c r="N469" s="4" t="n"/>
      <c r="V469">
        <f>IF(H469="",0,IFERROR(MATCH(H469,'רשימות'!$A$2:$A$13,0),0))</f>
        <v/>
      </c>
    </row>
    <row r="470">
      <c r="A470">
        <f>IF(C470="","","L-"&amp;TEXT(ROW()-1,"0000"))</f>
        <v/>
      </c>
      <c r="B470" s="2" t="n"/>
      <c r="D470" s="3" t="n"/>
      <c r="J470" s="2" t="n"/>
      <c r="K470" s="2" t="n"/>
      <c r="N470" s="4" t="n"/>
      <c r="V470">
        <f>IF(H470="",0,IFERROR(MATCH(H470,'רשימות'!$A$2:$A$13,0),0))</f>
        <v/>
      </c>
    </row>
    <row r="471">
      <c r="A471">
        <f>IF(C471="","","L-"&amp;TEXT(ROW()-1,"0000"))</f>
        <v/>
      </c>
      <c r="B471" s="2" t="n"/>
      <c r="D471" s="3" t="n"/>
      <c r="J471" s="2" t="n"/>
      <c r="K471" s="2" t="n"/>
      <c r="N471" s="4" t="n"/>
      <c r="V471">
        <f>IF(H471="",0,IFERROR(MATCH(H471,'רשימות'!$A$2:$A$13,0),0))</f>
        <v/>
      </c>
    </row>
    <row r="472">
      <c r="A472">
        <f>IF(C472="","","L-"&amp;TEXT(ROW()-1,"0000"))</f>
        <v/>
      </c>
      <c r="B472" s="2" t="n"/>
      <c r="D472" s="3" t="n"/>
      <c r="J472" s="2" t="n"/>
      <c r="K472" s="2" t="n"/>
      <c r="N472" s="4" t="n"/>
      <c r="V472">
        <f>IF(H472="",0,IFERROR(MATCH(H472,'רשימות'!$A$2:$A$13,0),0))</f>
        <v/>
      </c>
    </row>
    <row r="473">
      <c r="A473">
        <f>IF(C473="","","L-"&amp;TEXT(ROW()-1,"0000"))</f>
        <v/>
      </c>
      <c r="B473" s="2" t="n"/>
      <c r="D473" s="3" t="n"/>
      <c r="J473" s="2" t="n"/>
      <c r="K473" s="2" t="n"/>
      <c r="N473" s="4" t="n"/>
      <c r="V473">
        <f>IF(H473="",0,IFERROR(MATCH(H473,'רשימות'!$A$2:$A$13,0),0))</f>
        <v/>
      </c>
    </row>
    <row r="474">
      <c r="A474">
        <f>IF(C474="","","L-"&amp;TEXT(ROW()-1,"0000"))</f>
        <v/>
      </c>
      <c r="B474" s="2" t="n"/>
      <c r="D474" s="3" t="n"/>
      <c r="J474" s="2" t="n"/>
      <c r="K474" s="2" t="n"/>
      <c r="N474" s="4" t="n"/>
      <c r="V474">
        <f>IF(H474="",0,IFERROR(MATCH(H474,'רשימות'!$A$2:$A$13,0),0))</f>
        <v/>
      </c>
    </row>
    <row r="475">
      <c r="A475">
        <f>IF(C475="","","L-"&amp;TEXT(ROW()-1,"0000"))</f>
        <v/>
      </c>
      <c r="B475" s="2" t="n"/>
      <c r="D475" s="3" t="n"/>
      <c r="J475" s="2" t="n"/>
      <c r="K475" s="2" t="n"/>
      <c r="N475" s="4" t="n"/>
      <c r="V475">
        <f>IF(H475="",0,IFERROR(MATCH(H475,'רשימות'!$A$2:$A$13,0),0))</f>
        <v/>
      </c>
    </row>
    <row r="476">
      <c r="A476">
        <f>IF(C476="","","L-"&amp;TEXT(ROW()-1,"0000"))</f>
        <v/>
      </c>
      <c r="B476" s="2" t="n"/>
      <c r="D476" s="3" t="n"/>
      <c r="J476" s="2" t="n"/>
      <c r="K476" s="2" t="n"/>
      <c r="N476" s="4" t="n"/>
      <c r="V476">
        <f>IF(H476="",0,IFERROR(MATCH(H476,'רשימות'!$A$2:$A$13,0),0))</f>
        <v/>
      </c>
    </row>
    <row r="477">
      <c r="A477">
        <f>IF(C477="","","L-"&amp;TEXT(ROW()-1,"0000"))</f>
        <v/>
      </c>
      <c r="B477" s="2" t="n"/>
      <c r="D477" s="3" t="n"/>
      <c r="J477" s="2" t="n"/>
      <c r="K477" s="2" t="n"/>
      <c r="N477" s="4" t="n"/>
      <c r="V477">
        <f>IF(H477="",0,IFERROR(MATCH(H477,'רשימות'!$A$2:$A$13,0),0))</f>
        <v/>
      </c>
    </row>
    <row r="478">
      <c r="A478">
        <f>IF(C478="","","L-"&amp;TEXT(ROW()-1,"0000"))</f>
        <v/>
      </c>
      <c r="B478" s="2" t="n"/>
      <c r="D478" s="3" t="n"/>
      <c r="J478" s="2" t="n"/>
      <c r="K478" s="2" t="n"/>
      <c r="N478" s="4" t="n"/>
      <c r="V478">
        <f>IF(H478="",0,IFERROR(MATCH(H478,'רשימות'!$A$2:$A$13,0),0))</f>
        <v/>
      </c>
    </row>
    <row r="479">
      <c r="A479">
        <f>IF(C479="","","L-"&amp;TEXT(ROW()-1,"0000"))</f>
        <v/>
      </c>
      <c r="B479" s="2" t="n"/>
      <c r="D479" s="3" t="n"/>
      <c r="J479" s="2" t="n"/>
      <c r="K479" s="2" t="n"/>
      <c r="N479" s="4" t="n"/>
      <c r="V479">
        <f>IF(H479="",0,IFERROR(MATCH(H479,'רשימות'!$A$2:$A$13,0),0))</f>
        <v/>
      </c>
    </row>
    <row r="480">
      <c r="A480">
        <f>IF(C480="","","L-"&amp;TEXT(ROW()-1,"0000"))</f>
        <v/>
      </c>
      <c r="B480" s="2" t="n"/>
      <c r="D480" s="3" t="n"/>
      <c r="J480" s="2" t="n"/>
      <c r="K480" s="2" t="n"/>
      <c r="N480" s="4" t="n"/>
      <c r="V480">
        <f>IF(H480="",0,IFERROR(MATCH(H480,'רשימות'!$A$2:$A$13,0),0))</f>
        <v/>
      </c>
    </row>
    <row r="481">
      <c r="A481">
        <f>IF(C481="","","L-"&amp;TEXT(ROW()-1,"0000"))</f>
        <v/>
      </c>
      <c r="B481" s="2" t="n"/>
      <c r="D481" s="3" t="n"/>
      <c r="J481" s="2" t="n"/>
      <c r="K481" s="2" t="n"/>
      <c r="N481" s="4" t="n"/>
      <c r="V481">
        <f>IF(H481="",0,IFERROR(MATCH(H481,'רשימות'!$A$2:$A$13,0),0))</f>
        <v/>
      </c>
    </row>
    <row r="482">
      <c r="A482">
        <f>IF(C482="","","L-"&amp;TEXT(ROW()-1,"0000"))</f>
        <v/>
      </c>
      <c r="B482" s="2" t="n"/>
      <c r="D482" s="3" t="n"/>
      <c r="J482" s="2" t="n"/>
      <c r="K482" s="2" t="n"/>
      <c r="N482" s="4" t="n"/>
      <c r="V482">
        <f>IF(H482="",0,IFERROR(MATCH(H482,'רשימות'!$A$2:$A$13,0),0))</f>
        <v/>
      </c>
    </row>
    <row r="483">
      <c r="A483">
        <f>IF(C483="","","L-"&amp;TEXT(ROW()-1,"0000"))</f>
        <v/>
      </c>
      <c r="B483" s="2" t="n"/>
      <c r="D483" s="3" t="n"/>
      <c r="J483" s="2" t="n"/>
      <c r="K483" s="2" t="n"/>
      <c r="N483" s="4" t="n"/>
      <c r="V483">
        <f>IF(H483="",0,IFERROR(MATCH(H483,'רשימות'!$A$2:$A$13,0),0))</f>
        <v/>
      </c>
    </row>
    <row r="484">
      <c r="A484">
        <f>IF(C484="","","L-"&amp;TEXT(ROW()-1,"0000"))</f>
        <v/>
      </c>
      <c r="B484" s="2" t="n"/>
      <c r="D484" s="3" t="n"/>
      <c r="J484" s="2" t="n"/>
      <c r="K484" s="2" t="n"/>
      <c r="N484" s="4" t="n"/>
      <c r="V484">
        <f>IF(H484="",0,IFERROR(MATCH(H484,'רשימות'!$A$2:$A$13,0),0))</f>
        <v/>
      </c>
    </row>
    <row r="485">
      <c r="A485">
        <f>IF(C485="","","L-"&amp;TEXT(ROW()-1,"0000"))</f>
        <v/>
      </c>
      <c r="B485" s="2" t="n"/>
      <c r="D485" s="3" t="n"/>
      <c r="J485" s="2" t="n"/>
      <c r="K485" s="2" t="n"/>
      <c r="N485" s="4" t="n"/>
      <c r="V485">
        <f>IF(H485="",0,IFERROR(MATCH(H485,'רשימות'!$A$2:$A$13,0),0))</f>
        <v/>
      </c>
    </row>
    <row r="486">
      <c r="A486">
        <f>IF(C486="","","L-"&amp;TEXT(ROW()-1,"0000"))</f>
        <v/>
      </c>
      <c r="B486" s="2" t="n"/>
      <c r="D486" s="3" t="n"/>
      <c r="J486" s="2" t="n"/>
      <c r="K486" s="2" t="n"/>
      <c r="N486" s="4" t="n"/>
      <c r="V486">
        <f>IF(H486="",0,IFERROR(MATCH(H486,'רשימות'!$A$2:$A$13,0),0))</f>
        <v/>
      </c>
    </row>
    <row r="487">
      <c r="A487">
        <f>IF(C487="","","L-"&amp;TEXT(ROW()-1,"0000"))</f>
        <v/>
      </c>
      <c r="B487" s="2" t="n"/>
      <c r="D487" s="3" t="n"/>
      <c r="J487" s="2" t="n"/>
      <c r="K487" s="2" t="n"/>
      <c r="N487" s="4" t="n"/>
      <c r="V487">
        <f>IF(H487="",0,IFERROR(MATCH(H487,'רשימות'!$A$2:$A$13,0),0))</f>
        <v/>
      </c>
    </row>
    <row r="488">
      <c r="A488">
        <f>IF(C488="","","L-"&amp;TEXT(ROW()-1,"0000"))</f>
        <v/>
      </c>
      <c r="B488" s="2" t="n"/>
      <c r="D488" s="3" t="n"/>
      <c r="J488" s="2" t="n"/>
      <c r="K488" s="2" t="n"/>
      <c r="N488" s="4" t="n"/>
      <c r="V488">
        <f>IF(H488="",0,IFERROR(MATCH(H488,'רשימות'!$A$2:$A$13,0),0))</f>
        <v/>
      </c>
    </row>
    <row r="489">
      <c r="A489">
        <f>IF(C489="","","L-"&amp;TEXT(ROW()-1,"0000"))</f>
        <v/>
      </c>
      <c r="B489" s="2" t="n"/>
      <c r="D489" s="3" t="n"/>
      <c r="J489" s="2" t="n"/>
      <c r="K489" s="2" t="n"/>
      <c r="N489" s="4" t="n"/>
      <c r="V489">
        <f>IF(H489="",0,IFERROR(MATCH(H489,'רשימות'!$A$2:$A$13,0),0))</f>
        <v/>
      </c>
    </row>
    <row r="490">
      <c r="A490">
        <f>IF(C490="","","L-"&amp;TEXT(ROW()-1,"0000"))</f>
        <v/>
      </c>
      <c r="B490" s="2" t="n"/>
      <c r="D490" s="3" t="n"/>
      <c r="J490" s="2" t="n"/>
      <c r="K490" s="2" t="n"/>
      <c r="N490" s="4" t="n"/>
      <c r="V490">
        <f>IF(H490="",0,IFERROR(MATCH(H490,'רשימות'!$A$2:$A$13,0),0))</f>
        <v/>
      </c>
    </row>
    <row r="491">
      <c r="A491">
        <f>IF(C491="","","L-"&amp;TEXT(ROW()-1,"0000"))</f>
        <v/>
      </c>
      <c r="B491" s="2" t="n"/>
      <c r="D491" s="3" t="n"/>
      <c r="J491" s="2" t="n"/>
      <c r="K491" s="2" t="n"/>
      <c r="N491" s="4" t="n"/>
      <c r="V491">
        <f>IF(H491="",0,IFERROR(MATCH(H491,'רשימות'!$A$2:$A$13,0),0))</f>
        <v/>
      </c>
    </row>
    <row r="492">
      <c r="A492">
        <f>IF(C492="","","L-"&amp;TEXT(ROW()-1,"0000"))</f>
        <v/>
      </c>
      <c r="B492" s="2" t="n"/>
      <c r="D492" s="3" t="n"/>
      <c r="J492" s="2" t="n"/>
      <c r="K492" s="2" t="n"/>
      <c r="N492" s="4" t="n"/>
      <c r="V492">
        <f>IF(H492="",0,IFERROR(MATCH(H492,'רשימות'!$A$2:$A$13,0),0))</f>
        <v/>
      </c>
    </row>
    <row r="493">
      <c r="A493">
        <f>IF(C493="","","L-"&amp;TEXT(ROW()-1,"0000"))</f>
        <v/>
      </c>
      <c r="B493" s="2" t="n"/>
      <c r="D493" s="3" t="n"/>
      <c r="J493" s="2" t="n"/>
      <c r="K493" s="2" t="n"/>
      <c r="N493" s="4" t="n"/>
      <c r="V493">
        <f>IF(H493="",0,IFERROR(MATCH(H493,'רשימות'!$A$2:$A$13,0),0))</f>
        <v/>
      </c>
    </row>
    <row r="494">
      <c r="A494">
        <f>IF(C494="","","L-"&amp;TEXT(ROW()-1,"0000"))</f>
        <v/>
      </c>
      <c r="B494" s="2" t="n"/>
      <c r="D494" s="3" t="n"/>
      <c r="J494" s="2" t="n"/>
      <c r="K494" s="2" t="n"/>
      <c r="N494" s="4" t="n"/>
      <c r="V494">
        <f>IF(H494="",0,IFERROR(MATCH(H494,'רשימות'!$A$2:$A$13,0),0))</f>
        <v/>
      </c>
    </row>
    <row r="495">
      <c r="A495">
        <f>IF(C495="","","L-"&amp;TEXT(ROW()-1,"0000"))</f>
        <v/>
      </c>
      <c r="B495" s="2" t="n"/>
      <c r="D495" s="3" t="n"/>
      <c r="J495" s="2" t="n"/>
      <c r="K495" s="2" t="n"/>
      <c r="N495" s="4" t="n"/>
      <c r="V495">
        <f>IF(H495="",0,IFERROR(MATCH(H495,'רשימות'!$A$2:$A$13,0),0))</f>
        <v/>
      </c>
    </row>
    <row r="496">
      <c r="A496">
        <f>IF(C496="","","L-"&amp;TEXT(ROW()-1,"0000"))</f>
        <v/>
      </c>
      <c r="B496" s="2" t="n"/>
      <c r="D496" s="3" t="n"/>
      <c r="J496" s="2" t="n"/>
      <c r="K496" s="2" t="n"/>
      <c r="N496" s="4" t="n"/>
      <c r="V496">
        <f>IF(H496="",0,IFERROR(MATCH(H496,'רשימות'!$A$2:$A$13,0),0))</f>
        <v/>
      </c>
    </row>
    <row r="497">
      <c r="A497">
        <f>IF(C497="","","L-"&amp;TEXT(ROW()-1,"0000"))</f>
        <v/>
      </c>
      <c r="B497" s="2" t="n"/>
      <c r="D497" s="3" t="n"/>
      <c r="J497" s="2" t="n"/>
      <c r="K497" s="2" t="n"/>
      <c r="N497" s="4" t="n"/>
      <c r="V497">
        <f>IF(H497="",0,IFERROR(MATCH(H497,'רשימות'!$A$2:$A$13,0),0))</f>
        <v/>
      </c>
    </row>
    <row r="498">
      <c r="A498">
        <f>IF(C498="","","L-"&amp;TEXT(ROW()-1,"0000"))</f>
        <v/>
      </c>
      <c r="B498" s="2" t="n"/>
      <c r="D498" s="3" t="n"/>
      <c r="J498" s="2" t="n"/>
      <c r="K498" s="2" t="n"/>
      <c r="N498" s="4" t="n"/>
      <c r="V498">
        <f>IF(H498="",0,IFERROR(MATCH(H498,'רשימות'!$A$2:$A$13,0),0))</f>
        <v/>
      </c>
    </row>
    <row r="499">
      <c r="A499">
        <f>IF(C499="","","L-"&amp;TEXT(ROW()-1,"0000"))</f>
        <v/>
      </c>
      <c r="B499" s="2" t="n"/>
      <c r="D499" s="3" t="n"/>
      <c r="J499" s="2" t="n"/>
      <c r="K499" s="2" t="n"/>
      <c r="N499" s="4" t="n"/>
      <c r="V499">
        <f>IF(H499="",0,IFERROR(MATCH(H499,'רשימות'!$A$2:$A$13,0),0))</f>
        <v/>
      </c>
    </row>
    <row r="500">
      <c r="A500">
        <f>IF(C500="","","L-"&amp;TEXT(ROW()-1,"0000"))</f>
        <v/>
      </c>
      <c r="B500" s="2" t="n"/>
      <c r="D500" s="3" t="n"/>
      <c r="J500" s="2" t="n"/>
      <c r="K500" s="2" t="n"/>
      <c r="N500" s="4" t="n"/>
      <c r="V500">
        <f>IF(H500="",0,IFERROR(MATCH(H500,'רשימות'!$A$2:$A$13,0),0))</f>
        <v/>
      </c>
    </row>
    <row r="501">
      <c r="A501">
        <f>IF(C501="","","L-"&amp;TEXT(ROW()-1,"0000"))</f>
        <v/>
      </c>
      <c r="B501" s="2" t="n"/>
      <c r="D501" s="3" t="n"/>
      <c r="J501" s="2" t="n"/>
      <c r="K501" s="2" t="n"/>
      <c r="N501" s="4" t="n"/>
      <c r="V501">
        <f>IF(H501="",0,IFERROR(MATCH(H501,'רשימות'!$A$2:$A$13,0),0))</f>
        <v/>
      </c>
    </row>
  </sheetData>
  <autoFilter ref="A1:U501"/>
  <conditionalFormatting sqref="J2:J501">
    <cfRule type="expression" priority="1" dxfId="0" stopIfTrue="1">
      <formula>AND($J2&lt;&gt;"",$J2&lt;TODAY(),AND($H2&lt;&gt;"",LEFT($H2,1)&lt;&gt;"X",LEFT($H2,1)&lt;&gt;"Z",LEFT($H2,1)&lt;&gt;"8",LEFT($H2,1)&lt;&gt;"9"))</formula>
    </cfRule>
    <cfRule type="expression" priority="3" dxfId="1">
      <formula>AND($J2&lt;&gt;"",$J2=TODAY(),AND($H2&lt;&gt;"",LEFT($H2,1)&lt;&gt;"X",LEFT($H2,1)&lt;&gt;"Z",LEFT($H2,1)&lt;&gt;"8",LEFT($H2,1)&lt;&gt;"9"))</formula>
    </cfRule>
  </conditionalFormatting>
  <conditionalFormatting sqref="A2:U501">
    <cfRule type="expression" priority="2" dxfId="2">
      <formula>AND($J2&lt;&gt;"",$J2&lt;TODAY(),AND($H2&lt;&gt;"",LEFT($H2,1)&lt;&gt;"X",LEFT($H2,1)&lt;&gt;"Z",LEFT($H2,1)&lt;&gt;"8",LEFT($H2,1)&lt;&gt;"9"))</formula>
    </cfRule>
    <cfRule type="expression" priority="4" dxfId="3">
      <formula>LEFT($H2,1)="X"</formula>
    </cfRule>
  </conditionalFormatting>
  <dataValidations count="9">
    <dataValidation sqref="H2:H501" showDropDown="0" showInputMessage="0" showErrorMessage="1" allowBlank="1" errorTitle="שלב לא מוכר" error="בחרי שלב מהרשימה" type="list">
      <formula1>='רשימות'!$A$2:$A$13</formula1>
    </dataValidation>
    <dataValidation sqref="E2:E501" showDropDown="0" showInputMessage="0" showErrorMessage="0" allowBlank="1" errorTitle="שלב לא מוכר" error="בחרי שלב מהרשימה" type="list">
      <formula1>='רשימות'!$B$2:$B$30</formula1>
    </dataValidation>
    <dataValidation sqref="F2:F501" showDropDown="0" showInputMessage="0" showErrorMessage="0" allowBlank="1" errorTitle="שלב לא מוכר" error="בחרי שלב מהרשימה" type="list">
      <formula1>='רשימות'!$C$2:$C$30</formula1>
    </dataValidation>
    <dataValidation sqref="S2:S501" showDropDown="0" showInputMessage="0" showErrorMessage="0" allowBlank="1" errorTitle="שלב לא מוכר" error="בחרי שלב מהרשימה" type="list">
      <formula1>='רשימות'!$D$2:$D$30</formula1>
    </dataValidation>
    <dataValidation sqref="O2:O501" showDropDown="0" showInputMessage="0" showErrorMessage="0" allowBlank="1" errorTitle="שלב לא מוכר" error="בחרי שלב מהרשימה" type="list">
      <formula1>='רשימות'!$E$2:$E$30</formula1>
    </dataValidation>
    <dataValidation sqref="P2:P501" showDropDown="0" showInputMessage="0" showErrorMessage="0" allowBlank="1" errorTitle="שלב לא מוכר" error="בחרי שלב מהרשימה" type="list">
      <formula1>='רשימות'!$F$2:$F$30</formula1>
    </dataValidation>
    <dataValidation sqref="Q2:Q501" showDropDown="0" showInputMessage="0" showErrorMessage="0" allowBlank="1" errorTitle="שלב לא מוכר" error="בחרי שלב מהרשימה" type="list">
      <formula1>='רשימות'!$G$2:$G$30</formula1>
    </dataValidation>
    <dataValidation sqref="T2:T501" showDropDown="0" showInputMessage="0" showErrorMessage="0" allowBlank="1" errorTitle="שלב לא מוכר" error="בחרי שלב מהרשימה" type="list">
      <formula1>='רשימות'!$H$2:$H$30</formula1>
    </dataValidation>
    <dataValidation sqref="B2:B501 J2:J501 K2:K501" showDropDown="0" showInputMessage="0" showErrorMessage="0" allowBlank="1" type="date" operator="greaterThan">
      <formula1>DATE(2025,1,1)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8B5CF6"/>
    <outlinePr summaryBelow="1" summaryRight="1"/>
    <pageSetUpPr/>
  </sheetPr>
  <dimension ref="A1:H41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5" t="inlineStr">
        <is>
          <t>משפך הלידים · מחושב לבד מהטבלה</t>
        </is>
      </c>
    </row>
    <row r="2">
      <c r="A2" s="6" t="inlineStr">
        <is>
          <t>כל ליד נספר בשלב שבו הוא נמצא ובכל השלבים שלפניו. השבוע נקבע לפי תאריך הפנייה.</t>
        </is>
      </c>
    </row>
    <row r="4">
      <c r="A4" s="7" t="inlineStr">
        <is>
          <t>לפי שבוע</t>
        </is>
      </c>
    </row>
    <row r="5">
      <c r="A5" s="8" t="inlineStr">
        <is>
          <t>שבוע שמתחיל ב-</t>
        </is>
      </c>
      <c r="B5" s="8" t="inlineStr">
        <is>
          <t>לידים</t>
        </is>
      </c>
      <c r="C5" s="8" t="inlineStr">
        <is>
          <t>שיחות נקבעו</t>
        </is>
      </c>
      <c r="D5" s="8" t="inlineStr">
        <is>
          <t>שיחות התקיימו</t>
        </is>
      </c>
      <c r="E5" s="8" t="inlineStr">
        <is>
          <t>הצעות נשלחו</t>
        </is>
      </c>
      <c r="F5" s="8" t="inlineStr">
        <is>
          <t>נסגרו (אושרה)</t>
        </is>
      </c>
      <c r="G5" s="8" t="inlineStr">
        <is>
          <t>שולמו</t>
        </is>
      </c>
      <c r="H5" s="8" t="inlineStr">
        <is>
          <t>באוויר</t>
        </is>
      </c>
    </row>
    <row r="6">
      <c r="A6" s="9">
        <f>TODAY()-WEEKDAY(TODAY())+1-7*0</f>
        <v/>
      </c>
      <c r="B6" s="10">
        <f>SUMPRODUCT(('לידים'!$C$2:$C$501&lt;&gt;"")*('לידים'!$B$2:$B$501&gt;=$A6)*('לידים'!$B$2:$B$501&lt;$A6+7))</f>
        <v/>
      </c>
      <c r="C6" s="10">
        <f>SUMPRODUCT(('לידים'!$C$2:$C$501&lt;&gt;"")*((('לידים'!$K$2:$K$501&lt;&gt;"")+('לידים'!$V$2:$V$501&gt;=3)*('לידים'!$V$2:$V$501&lt;=10))&gt;0)*('לידים'!$B$2:$B$501&gt;=$A6)*('לידים'!$B$2:$B$501&lt;$A6+7))</f>
        <v/>
      </c>
      <c r="D6" s="10">
        <f>SUMPRODUCT(('לידים'!$C$2:$C$501&lt;&gt;"")*((('לידים'!$V$2:$V$501&gt;=4)*('לידים'!$V$2:$V$501&lt;=10)+('לידים'!$M$2:$M$501&lt;&gt;""))&gt;0)*('לידים'!$B$2:$B$501&gt;=$A6)*('לידים'!$B$2:$B$501&lt;$A6+7))</f>
        <v/>
      </c>
      <c r="E6" s="10">
        <f>SUMPRODUCT(('לידים'!$C$2:$C$501&lt;&gt;"")*((('לידים'!$V$2:$V$501&gt;=5)*('לידים'!$V$2:$V$501&lt;=10)+('לידים'!$M$2:$M$501&lt;&gt;""))&gt;0)*('לידים'!$B$2:$B$501&gt;=$A6)*('לידים'!$B$2:$B$501&lt;$A6+7))</f>
        <v/>
      </c>
      <c r="F6" s="10">
        <f>SUMPRODUCT(('לידים'!$C$2:$C$501&lt;&gt;"")*((('לידים'!$V$2:$V$501&gt;=6)*('לידים'!$V$2:$V$501&lt;=10)+('לידים'!$O$2:$O$501="אושרה"))&gt;0)*('לידים'!$B$2:$B$501&gt;=$A6)*('לידים'!$B$2:$B$501&lt;$A6+7))</f>
        <v/>
      </c>
      <c r="G6" s="10">
        <f>SUMPRODUCT(('לידים'!$C$2:$C$501&lt;&gt;"")*((('לידים'!$V$2:$V$501&gt;=7)*('לידים'!$V$2:$V$501&lt;=10)+('לידים'!$P$2:$P$501="שולם"))&gt;0)*('לידים'!$B$2:$B$501&gt;=$A6)*('לידים'!$B$2:$B$501&lt;$A6+7))</f>
        <v/>
      </c>
      <c r="H6" s="10">
        <f>SUMPRODUCT(('לידים'!$C$2:$C$501&lt;&gt;"")*('לידים'!$V$2:$V$501&gt;=9)*('לידים'!$V$2:$V$501&lt;=10)*('לידים'!$B$2:$B$501&gt;=$A6)*('לידים'!$B$2:$B$501&lt;$A6+7))</f>
        <v/>
      </c>
    </row>
    <row r="7">
      <c r="A7" s="9">
        <f>TODAY()-WEEKDAY(TODAY())+1-7*1</f>
        <v/>
      </c>
      <c r="B7" s="10">
        <f>SUMPRODUCT(('לידים'!$C$2:$C$501&lt;&gt;"")*('לידים'!$B$2:$B$501&gt;=$A7)*('לידים'!$B$2:$B$501&lt;$A7+7))</f>
        <v/>
      </c>
      <c r="C7" s="10">
        <f>SUMPRODUCT(('לידים'!$C$2:$C$501&lt;&gt;"")*((('לידים'!$K$2:$K$501&lt;&gt;"")+('לידים'!$V$2:$V$501&gt;=3)*('לידים'!$V$2:$V$501&lt;=10))&gt;0)*('לידים'!$B$2:$B$501&gt;=$A7)*('לידים'!$B$2:$B$501&lt;$A7+7))</f>
        <v/>
      </c>
      <c r="D7" s="10">
        <f>SUMPRODUCT(('לידים'!$C$2:$C$501&lt;&gt;"")*((('לידים'!$V$2:$V$501&gt;=4)*('לידים'!$V$2:$V$501&lt;=10)+('לידים'!$M$2:$M$501&lt;&gt;""))&gt;0)*('לידים'!$B$2:$B$501&gt;=$A7)*('לידים'!$B$2:$B$501&lt;$A7+7))</f>
        <v/>
      </c>
      <c r="E7" s="10">
        <f>SUMPRODUCT(('לידים'!$C$2:$C$501&lt;&gt;"")*((('לידים'!$V$2:$V$501&gt;=5)*('לידים'!$V$2:$V$501&lt;=10)+('לידים'!$M$2:$M$501&lt;&gt;""))&gt;0)*('לידים'!$B$2:$B$501&gt;=$A7)*('לידים'!$B$2:$B$501&lt;$A7+7))</f>
        <v/>
      </c>
      <c r="F7" s="10">
        <f>SUMPRODUCT(('לידים'!$C$2:$C$501&lt;&gt;"")*((('לידים'!$V$2:$V$501&gt;=6)*('לידים'!$V$2:$V$501&lt;=10)+('לידים'!$O$2:$O$501="אושרה"))&gt;0)*('לידים'!$B$2:$B$501&gt;=$A7)*('לידים'!$B$2:$B$501&lt;$A7+7))</f>
        <v/>
      </c>
      <c r="G7" s="10">
        <f>SUMPRODUCT(('לידים'!$C$2:$C$501&lt;&gt;"")*((('לידים'!$V$2:$V$501&gt;=7)*('לידים'!$V$2:$V$501&lt;=10)+('לידים'!$P$2:$P$501="שולם"))&gt;0)*('לידים'!$B$2:$B$501&gt;=$A7)*('לידים'!$B$2:$B$501&lt;$A7+7))</f>
        <v/>
      </c>
      <c r="H7" s="10">
        <f>SUMPRODUCT(('לידים'!$C$2:$C$501&lt;&gt;"")*('לידים'!$V$2:$V$501&gt;=9)*('לידים'!$V$2:$V$501&lt;=10)*('לידים'!$B$2:$B$501&gt;=$A7)*('לידים'!$B$2:$B$501&lt;$A7+7))</f>
        <v/>
      </c>
    </row>
    <row r="8">
      <c r="A8" s="9">
        <f>TODAY()-WEEKDAY(TODAY())+1-7*2</f>
        <v/>
      </c>
      <c r="B8" s="10">
        <f>SUMPRODUCT(('לידים'!$C$2:$C$501&lt;&gt;"")*('לידים'!$B$2:$B$501&gt;=$A8)*('לידים'!$B$2:$B$501&lt;$A8+7))</f>
        <v/>
      </c>
      <c r="C8" s="10">
        <f>SUMPRODUCT(('לידים'!$C$2:$C$501&lt;&gt;"")*((('לידים'!$K$2:$K$501&lt;&gt;"")+('לידים'!$V$2:$V$501&gt;=3)*('לידים'!$V$2:$V$501&lt;=10))&gt;0)*('לידים'!$B$2:$B$501&gt;=$A8)*('לידים'!$B$2:$B$501&lt;$A8+7))</f>
        <v/>
      </c>
      <c r="D8" s="10">
        <f>SUMPRODUCT(('לידים'!$C$2:$C$501&lt;&gt;"")*((('לידים'!$V$2:$V$501&gt;=4)*('לידים'!$V$2:$V$501&lt;=10)+('לידים'!$M$2:$M$501&lt;&gt;""))&gt;0)*('לידים'!$B$2:$B$501&gt;=$A8)*('לידים'!$B$2:$B$501&lt;$A8+7))</f>
        <v/>
      </c>
      <c r="E8" s="10">
        <f>SUMPRODUCT(('לידים'!$C$2:$C$501&lt;&gt;"")*((('לידים'!$V$2:$V$501&gt;=5)*('לידים'!$V$2:$V$501&lt;=10)+('לידים'!$M$2:$M$501&lt;&gt;""))&gt;0)*('לידים'!$B$2:$B$501&gt;=$A8)*('לידים'!$B$2:$B$501&lt;$A8+7))</f>
        <v/>
      </c>
      <c r="F8" s="10">
        <f>SUMPRODUCT(('לידים'!$C$2:$C$501&lt;&gt;"")*((('לידים'!$V$2:$V$501&gt;=6)*('לידים'!$V$2:$V$501&lt;=10)+('לידים'!$O$2:$O$501="אושרה"))&gt;0)*('לידים'!$B$2:$B$501&gt;=$A8)*('לידים'!$B$2:$B$501&lt;$A8+7))</f>
        <v/>
      </c>
      <c r="G8" s="10">
        <f>SUMPRODUCT(('לידים'!$C$2:$C$501&lt;&gt;"")*((('לידים'!$V$2:$V$501&gt;=7)*('לידים'!$V$2:$V$501&lt;=10)+('לידים'!$P$2:$P$501="שולם"))&gt;0)*('לידים'!$B$2:$B$501&gt;=$A8)*('לידים'!$B$2:$B$501&lt;$A8+7))</f>
        <v/>
      </c>
      <c r="H8" s="10">
        <f>SUMPRODUCT(('לידים'!$C$2:$C$501&lt;&gt;"")*('לידים'!$V$2:$V$501&gt;=9)*('לידים'!$V$2:$V$501&lt;=10)*('לידים'!$B$2:$B$501&gt;=$A8)*('לידים'!$B$2:$B$501&lt;$A8+7))</f>
        <v/>
      </c>
    </row>
    <row r="9">
      <c r="A9" s="9">
        <f>TODAY()-WEEKDAY(TODAY())+1-7*3</f>
        <v/>
      </c>
      <c r="B9" s="10">
        <f>SUMPRODUCT(('לידים'!$C$2:$C$501&lt;&gt;"")*('לידים'!$B$2:$B$501&gt;=$A9)*('לידים'!$B$2:$B$501&lt;$A9+7))</f>
        <v/>
      </c>
      <c r="C9" s="10">
        <f>SUMPRODUCT(('לידים'!$C$2:$C$501&lt;&gt;"")*((('לידים'!$K$2:$K$501&lt;&gt;"")+('לידים'!$V$2:$V$501&gt;=3)*('לידים'!$V$2:$V$501&lt;=10))&gt;0)*('לידים'!$B$2:$B$501&gt;=$A9)*('לידים'!$B$2:$B$501&lt;$A9+7))</f>
        <v/>
      </c>
      <c r="D9" s="10">
        <f>SUMPRODUCT(('לידים'!$C$2:$C$501&lt;&gt;"")*((('לידים'!$V$2:$V$501&gt;=4)*('לידים'!$V$2:$V$501&lt;=10)+('לידים'!$M$2:$M$501&lt;&gt;""))&gt;0)*('לידים'!$B$2:$B$501&gt;=$A9)*('לידים'!$B$2:$B$501&lt;$A9+7))</f>
        <v/>
      </c>
      <c r="E9" s="10">
        <f>SUMPRODUCT(('לידים'!$C$2:$C$501&lt;&gt;"")*((('לידים'!$V$2:$V$501&gt;=5)*('לידים'!$V$2:$V$501&lt;=10)+('לידים'!$M$2:$M$501&lt;&gt;""))&gt;0)*('לידים'!$B$2:$B$501&gt;=$A9)*('לידים'!$B$2:$B$501&lt;$A9+7))</f>
        <v/>
      </c>
      <c r="F9" s="10">
        <f>SUMPRODUCT(('לידים'!$C$2:$C$501&lt;&gt;"")*((('לידים'!$V$2:$V$501&gt;=6)*('לידים'!$V$2:$V$501&lt;=10)+('לידים'!$O$2:$O$501="אושרה"))&gt;0)*('לידים'!$B$2:$B$501&gt;=$A9)*('לידים'!$B$2:$B$501&lt;$A9+7))</f>
        <v/>
      </c>
      <c r="G9" s="10">
        <f>SUMPRODUCT(('לידים'!$C$2:$C$501&lt;&gt;"")*((('לידים'!$V$2:$V$501&gt;=7)*('לידים'!$V$2:$V$501&lt;=10)+('לידים'!$P$2:$P$501="שולם"))&gt;0)*('לידים'!$B$2:$B$501&gt;=$A9)*('לידים'!$B$2:$B$501&lt;$A9+7))</f>
        <v/>
      </c>
      <c r="H9" s="10">
        <f>SUMPRODUCT(('לידים'!$C$2:$C$501&lt;&gt;"")*('לידים'!$V$2:$V$501&gt;=9)*('לידים'!$V$2:$V$501&lt;=10)*('לידים'!$B$2:$B$501&gt;=$A9)*('לידים'!$B$2:$B$501&lt;$A9+7))</f>
        <v/>
      </c>
    </row>
    <row r="10">
      <c r="A10" s="9">
        <f>TODAY()-WEEKDAY(TODAY())+1-7*4</f>
        <v/>
      </c>
      <c r="B10" s="10">
        <f>SUMPRODUCT(('לידים'!$C$2:$C$501&lt;&gt;"")*('לידים'!$B$2:$B$501&gt;=$A10)*('לידים'!$B$2:$B$501&lt;$A10+7))</f>
        <v/>
      </c>
      <c r="C10" s="10">
        <f>SUMPRODUCT(('לידים'!$C$2:$C$501&lt;&gt;"")*((('לידים'!$K$2:$K$501&lt;&gt;"")+('לידים'!$V$2:$V$501&gt;=3)*('לידים'!$V$2:$V$501&lt;=10))&gt;0)*('לידים'!$B$2:$B$501&gt;=$A10)*('לידים'!$B$2:$B$501&lt;$A10+7))</f>
        <v/>
      </c>
      <c r="D10" s="10">
        <f>SUMPRODUCT(('לידים'!$C$2:$C$501&lt;&gt;"")*((('לידים'!$V$2:$V$501&gt;=4)*('לידים'!$V$2:$V$501&lt;=10)+('לידים'!$M$2:$M$501&lt;&gt;""))&gt;0)*('לידים'!$B$2:$B$501&gt;=$A10)*('לידים'!$B$2:$B$501&lt;$A10+7))</f>
        <v/>
      </c>
      <c r="E10" s="10">
        <f>SUMPRODUCT(('לידים'!$C$2:$C$501&lt;&gt;"")*((('לידים'!$V$2:$V$501&gt;=5)*('לידים'!$V$2:$V$501&lt;=10)+('לידים'!$M$2:$M$501&lt;&gt;""))&gt;0)*('לידים'!$B$2:$B$501&gt;=$A10)*('לידים'!$B$2:$B$501&lt;$A10+7))</f>
        <v/>
      </c>
      <c r="F10" s="10">
        <f>SUMPRODUCT(('לידים'!$C$2:$C$501&lt;&gt;"")*((('לידים'!$V$2:$V$501&gt;=6)*('לידים'!$V$2:$V$501&lt;=10)+('לידים'!$O$2:$O$501="אושרה"))&gt;0)*('לידים'!$B$2:$B$501&gt;=$A10)*('לידים'!$B$2:$B$501&lt;$A10+7))</f>
        <v/>
      </c>
      <c r="G10" s="10">
        <f>SUMPRODUCT(('לידים'!$C$2:$C$501&lt;&gt;"")*((('לידים'!$V$2:$V$501&gt;=7)*('לידים'!$V$2:$V$501&lt;=10)+('לידים'!$P$2:$P$501="שולם"))&gt;0)*('לידים'!$B$2:$B$501&gt;=$A10)*('לידים'!$B$2:$B$501&lt;$A10+7))</f>
        <v/>
      </c>
      <c r="H10" s="10">
        <f>SUMPRODUCT(('לידים'!$C$2:$C$501&lt;&gt;"")*('לידים'!$V$2:$V$501&gt;=9)*('לידים'!$V$2:$V$501&lt;=10)*('לידים'!$B$2:$B$501&gt;=$A10)*('לידים'!$B$2:$B$501&lt;$A10+7))</f>
        <v/>
      </c>
    </row>
    <row r="11">
      <c r="A11" s="9">
        <f>TODAY()-WEEKDAY(TODAY())+1-7*5</f>
        <v/>
      </c>
      <c r="B11" s="10">
        <f>SUMPRODUCT(('לידים'!$C$2:$C$501&lt;&gt;"")*('לידים'!$B$2:$B$501&gt;=$A11)*('לידים'!$B$2:$B$501&lt;$A11+7))</f>
        <v/>
      </c>
      <c r="C11" s="10">
        <f>SUMPRODUCT(('לידים'!$C$2:$C$501&lt;&gt;"")*((('לידים'!$K$2:$K$501&lt;&gt;"")+('לידים'!$V$2:$V$501&gt;=3)*('לידים'!$V$2:$V$501&lt;=10))&gt;0)*('לידים'!$B$2:$B$501&gt;=$A11)*('לידים'!$B$2:$B$501&lt;$A11+7))</f>
        <v/>
      </c>
      <c r="D11" s="10">
        <f>SUMPRODUCT(('לידים'!$C$2:$C$501&lt;&gt;"")*((('לידים'!$V$2:$V$501&gt;=4)*('לידים'!$V$2:$V$501&lt;=10)+('לידים'!$M$2:$M$501&lt;&gt;""))&gt;0)*('לידים'!$B$2:$B$501&gt;=$A11)*('לידים'!$B$2:$B$501&lt;$A11+7))</f>
        <v/>
      </c>
      <c r="E11" s="10">
        <f>SUMPRODUCT(('לידים'!$C$2:$C$501&lt;&gt;"")*((('לידים'!$V$2:$V$501&gt;=5)*('לידים'!$V$2:$V$501&lt;=10)+('לידים'!$M$2:$M$501&lt;&gt;""))&gt;0)*('לידים'!$B$2:$B$501&gt;=$A11)*('לידים'!$B$2:$B$501&lt;$A11+7))</f>
        <v/>
      </c>
      <c r="F11" s="10">
        <f>SUMPRODUCT(('לידים'!$C$2:$C$501&lt;&gt;"")*((('לידים'!$V$2:$V$501&gt;=6)*('לידים'!$V$2:$V$501&lt;=10)+('לידים'!$O$2:$O$501="אושרה"))&gt;0)*('לידים'!$B$2:$B$501&gt;=$A11)*('לידים'!$B$2:$B$501&lt;$A11+7))</f>
        <v/>
      </c>
      <c r="G11" s="10">
        <f>SUMPRODUCT(('לידים'!$C$2:$C$501&lt;&gt;"")*((('לידים'!$V$2:$V$501&gt;=7)*('לידים'!$V$2:$V$501&lt;=10)+('לידים'!$P$2:$P$501="שולם"))&gt;0)*('לידים'!$B$2:$B$501&gt;=$A11)*('לידים'!$B$2:$B$501&lt;$A11+7))</f>
        <v/>
      </c>
      <c r="H11" s="10">
        <f>SUMPRODUCT(('לידים'!$C$2:$C$501&lt;&gt;"")*('לידים'!$V$2:$V$501&gt;=9)*('לידים'!$V$2:$V$501&lt;=10)*('לידים'!$B$2:$B$501&gt;=$A11)*('לידים'!$B$2:$B$501&lt;$A11+7))</f>
        <v/>
      </c>
    </row>
    <row r="12">
      <c r="A12" s="9">
        <f>TODAY()-WEEKDAY(TODAY())+1-7*6</f>
        <v/>
      </c>
      <c r="B12" s="10">
        <f>SUMPRODUCT(('לידים'!$C$2:$C$501&lt;&gt;"")*('לידים'!$B$2:$B$501&gt;=$A12)*('לידים'!$B$2:$B$501&lt;$A12+7))</f>
        <v/>
      </c>
      <c r="C12" s="10">
        <f>SUMPRODUCT(('לידים'!$C$2:$C$501&lt;&gt;"")*((('לידים'!$K$2:$K$501&lt;&gt;"")+('לידים'!$V$2:$V$501&gt;=3)*('לידים'!$V$2:$V$501&lt;=10))&gt;0)*('לידים'!$B$2:$B$501&gt;=$A12)*('לידים'!$B$2:$B$501&lt;$A12+7))</f>
        <v/>
      </c>
      <c r="D12" s="10">
        <f>SUMPRODUCT(('לידים'!$C$2:$C$501&lt;&gt;"")*((('לידים'!$V$2:$V$501&gt;=4)*('לידים'!$V$2:$V$501&lt;=10)+('לידים'!$M$2:$M$501&lt;&gt;""))&gt;0)*('לידים'!$B$2:$B$501&gt;=$A12)*('לידים'!$B$2:$B$501&lt;$A12+7))</f>
        <v/>
      </c>
      <c r="E12" s="10">
        <f>SUMPRODUCT(('לידים'!$C$2:$C$501&lt;&gt;"")*((('לידים'!$V$2:$V$501&gt;=5)*('לידים'!$V$2:$V$501&lt;=10)+('לידים'!$M$2:$M$501&lt;&gt;""))&gt;0)*('לידים'!$B$2:$B$501&gt;=$A12)*('לידים'!$B$2:$B$501&lt;$A12+7))</f>
        <v/>
      </c>
      <c r="F12" s="10">
        <f>SUMPRODUCT(('לידים'!$C$2:$C$501&lt;&gt;"")*((('לידים'!$V$2:$V$501&gt;=6)*('לידים'!$V$2:$V$501&lt;=10)+('לידים'!$O$2:$O$501="אושרה"))&gt;0)*('לידים'!$B$2:$B$501&gt;=$A12)*('לידים'!$B$2:$B$501&lt;$A12+7))</f>
        <v/>
      </c>
      <c r="G12" s="10">
        <f>SUMPRODUCT(('לידים'!$C$2:$C$501&lt;&gt;"")*((('לידים'!$V$2:$V$501&gt;=7)*('לידים'!$V$2:$V$501&lt;=10)+('לידים'!$P$2:$P$501="שולם"))&gt;0)*('לידים'!$B$2:$B$501&gt;=$A12)*('לידים'!$B$2:$B$501&lt;$A12+7))</f>
        <v/>
      </c>
      <c r="H12" s="10">
        <f>SUMPRODUCT(('לידים'!$C$2:$C$501&lt;&gt;"")*('לידים'!$V$2:$V$501&gt;=9)*('לידים'!$V$2:$V$501&lt;=10)*('לידים'!$B$2:$B$501&gt;=$A12)*('לידים'!$B$2:$B$501&lt;$A12+7))</f>
        <v/>
      </c>
    </row>
    <row r="13">
      <c r="A13" s="9">
        <f>TODAY()-WEEKDAY(TODAY())+1-7*7</f>
        <v/>
      </c>
      <c r="B13" s="10">
        <f>SUMPRODUCT(('לידים'!$C$2:$C$501&lt;&gt;"")*('לידים'!$B$2:$B$501&gt;=$A13)*('לידים'!$B$2:$B$501&lt;$A13+7))</f>
        <v/>
      </c>
      <c r="C13" s="10">
        <f>SUMPRODUCT(('לידים'!$C$2:$C$501&lt;&gt;"")*((('לידים'!$K$2:$K$501&lt;&gt;"")+('לידים'!$V$2:$V$501&gt;=3)*('לידים'!$V$2:$V$501&lt;=10))&gt;0)*('לידים'!$B$2:$B$501&gt;=$A13)*('לידים'!$B$2:$B$501&lt;$A13+7))</f>
        <v/>
      </c>
      <c r="D13" s="10">
        <f>SUMPRODUCT(('לידים'!$C$2:$C$501&lt;&gt;"")*((('לידים'!$V$2:$V$501&gt;=4)*('לידים'!$V$2:$V$501&lt;=10)+('לידים'!$M$2:$M$501&lt;&gt;""))&gt;0)*('לידים'!$B$2:$B$501&gt;=$A13)*('לידים'!$B$2:$B$501&lt;$A13+7))</f>
        <v/>
      </c>
      <c r="E13" s="10">
        <f>SUMPRODUCT(('לידים'!$C$2:$C$501&lt;&gt;"")*((('לידים'!$V$2:$V$501&gt;=5)*('לידים'!$V$2:$V$501&lt;=10)+('לידים'!$M$2:$M$501&lt;&gt;""))&gt;0)*('לידים'!$B$2:$B$501&gt;=$A13)*('לידים'!$B$2:$B$501&lt;$A13+7))</f>
        <v/>
      </c>
      <c r="F13" s="10">
        <f>SUMPRODUCT(('לידים'!$C$2:$C$501&lt;&gt;"")*((('לידים'!$V$2:$V$501&gt;=6)*('לידים'!$V$2:$V$501&lt;=10)+('לידים'!$O$2:$O$501="אושרה"))&gt;0)*('לידים'!$B$2:$B$501&gt;=$A13)*('לידים'!$B$2:$B$501&lt;$A13+7))</f>
        <v/>
      </c>
      <c r="G13" s="10">
        <f>SUMPRODUCT(('לידים'!$C$2:$C$501&lt;&gt;"")*((('לידים'!$V$2:$V$501&gt;=7)*('לידים'!$V$2:$V$501&lt;=10)+('לידים'!$P$2:$P$501="שולם"))&gt;0)*('לידים'!$B$2:$B$501&gt;=$A13)*('לידים'!$B$2:$B$501&lt;$A13+7))</f>
        <v/>
      </c>
      <c r="H13" s="10">
        <f>SUMPRODUCT(('לידים'!$C$2:$C$501&lt;&gt;"")*('לידים'!$V$2:$V$501&gt;=9)*('לידים'!$V$2:$V$501&lt;=10)*('לידים'!$B$2:$B$501&gt;=$A13)*('לידים'!$B$2:$B$501&lt;$A13+7))</f>
        <v/>
      </c>
    </row>
    <row r="14">
      <c r="A14" s="9">
        <f>TODAY()-WEEKDAY(TODAY())+1-7*8</f>
        <v/>
      </c>
      <c r="B14" s="10">
        <f>SUMPRODUCT(('לידים'!$C$2:$C$501&lt;&gt;"")*('לידים'!$B$2:$B$501&gt;=$A14)*('לידים'!$B$2:$B$501&lt;$A14+7))</f>
        <v/>
      </c>
      <c r="C14" s="10">
        <f>SUMPRODUCT(('לידים'!$C$2:$C$501&lt;&gt;"")*((('לידים'!$K$2:$K$501&lt;&gt;"")+('לידים'!$V$2:$V$501&gt;=3)*('לידים'!$V$2:$V$501&lt;=10))&gt;0)*('לידים'!$B$2:$B$501&gt;=$A14)*('לידים'!$B$2:$B$501&lt;$A14+7))</f>
        <v/>
      </c>
      <c r="D14" s="10">
        <f>SUMPRODUCT(('לידים'!$C$2:$C$501&lt;&gt;"")*((('לידים'!$V$2:$V$501&gt;=4)*('לידים'!$V$2:$V$501&lt;=10)+('לידים'!$M$2:$M$501&lt;&gt;""))&gt;0)*('לידים'!$B$2:$B$501&gt;=$A14)*('לידים'!$B$2:$B$501&lt;$A14+7))</f>
        <v/>
      </c>
      <c r="E14" s="10">
        <f>SUMPRODUCT(('לידים'!$C$2:$C$501&lt;&gt;"")*((('לידים'!$V$2:$V$501&gt;=5)*('לידים'!$V$2:$V$501&lt;=10)+('לידים'!$M$2:$M$501&lt;&gt;""))&gt;0)*('לידים'!$B$2:$B$501&gt;=$A14)*('לידים'!$B$2:$B$501&lt;$A14+7))</f>
        <v/>
      </c>
      <c r="F14" s="10">
        <f>SUMPRODUCT(('לידים'!$C$2:$C$501&lt;&gt;"")*((('לידים'!$V$2:$V$501&gt;=6)*('לידים'!$V$2:$V$501&lt;=10)+('לידים'!$O$2:$O$501="אושרה"))&gt;0)*('לידים'!$B$2:$B$501&gt;=$A14)*('לידים'!$B$2:$B$501&lt;$A14+7))</f>
        <v/>
      </c>
      <c r="G14" s="10">
        <f>SUMPRODUCT(('לידים'!$C$2:$C$501&lt;&gt;"")*((('לידים'!$V$2:$V$501&gt;=7)*('לידים'!$V$2:$V$501&lt;=10)+('לידים'!$P$2:$P$501="שולם"))&gt;0)*('לידים'!$B$2:$B$501&gt;=$A14)*('לידים'!$B$2:$B$501&lt;$A14+7))</f>
        <v/>
      </c>
      <c r="H14" s="10">
        <f>SUMPRODUCT(('לידים'!$C$2:$C$501&lt;&gt;"")*('לידים'!$V$2:$V$501&gt;=9)*('לידים'!$V$2:$V$501&lt;=10)*('לידים'!$B$2:$B$501&gt;=$A14)*('לידים'!$B$2:$B$501&lt;$A14+7))</f>
        <v/>
      </c>
    </row>
    <row r="15">
      <c r="A15" s="9">
        <f>TODAY()-WEEKDAY(TODAY())+1-7*9</f>
        <v/>
      </c>
      <c r="B15" s="10">
        <f>SUMPRODUCT(('לידים'!$C$2:$C$501&lt;&gt;"")*('לידים'!$B$2:$B$501&gt;=$A15)*('לידים'!$B$2:$B$501&lt;$A15+7))</f>
        <v/>
      </c>
      <c r="C15" s="10">
        <f>SUMPRODUCT(('לידים'!$C$2:$C$501&lt;&gt;"")*((('לידים'!$K$2:$K$501&lt;&gt;"")+('לידים'!$V$2:$V$501&gt;=3)*('לידים'!$V$2:$V$501&lt;=10))&gt;0)*('לידים'!$B$2:$B$501&gt;=$A15)*('לידים'!$B$2:$B$501&lt;$A15+7))</f>
        <v/>
      </c>
      <c r="D15" s="10">
        <f>SUMPRODUCT(('לידים'!$C$2:$C$501&lt;&gt;"")*((('לידים'!$V$2:$V$501&gt;=4)*('לידים'!$V$2:$V$501&lt;=10)+('לידים'!$M$2:$M$501&lt;&gt;""))&gt;0)*('לידים'!$B$2:$B$501&gt;=$A15)*('לידים'!$B$2:$B$501&lt;$A15+7))</f>
        <v/>
      </c>
      <c r="E15" s="10">
        <f>SUMPRODUCT(('לידים'!$C$2:$C$501&lt;&gt;"")*((('לידים'!$V$2:$V$501&gt;=5)*('לידים'!$V$2:$V$501&lt;=10)+('לידים'!$M$2:$M$501&lt;&gt;""))&gt;0)*('לידים'!$B$2:$B$501&gt;=$A15)*('לידים'!$B$2:$B$501&lt;$A15+7))</f>
        <v/>
      </c>
      <c r="F15" s="10">
        <f>SUMPRODUCT(('לידים'!$C$2:$C$501&lt;&gt;"")*((('לידים'!$V$2:$V$501&gt;=6)*('לידים'!$V$2:$V$501&lt;=10)+('לידים'!$O$2:$O$501="אושרה"))&gt;0)*('לידים'!$B$2:$B$501&gt;=$A15)*('לידים'!$B$2:$B$501&lt;$A15+7))</f>
        <v/>
      </c>
      <c r="G15" s="10">
        <f>SUMPRODUCT(('לידים'!$C$2:$C$501&lt;&gt;"")*((('לידים'!$V$2:$V$501&gt;=7)*('לידים'!$V$2:$V$501&lt;=10)+('לידים'!$P$2:$P$501="שולם"))&gt;0)*('לידים'!$B$2:$B$501&gt;=$A15)*('לידים'!$B$2:$B$501&lt;$A15+7))</f>
        <v/>
      </c>
      <c r="H15" s="10">
        <f>SUMPRODUCT(('לידים'!$C$2:$C$501&lt;&gt;"")*('לידים'!$V$2:$V$501&gt;=9)*('לידים'!$V$2:$V$501&lt;=10)*('לידים'!$B$2:$B$501&gt;=$A15)*('לידים'!$B$2:$B$501&lt;$A15+7))</f>
        <v/>
      </c>
    </row>
    <row r="16">
      <c r="A16" s="9">
        <f>TODAY()-WEEKDAY(TODAY())+1-7*10</f>
        <v/>
      </c>
      <c r="B16" s="10">
        <f>SUMPRODUCT(('לידים'!$C$2:$C$501&lt;&gt;"")*('לידים'!$B$2:$B$501&gt;=$A16)*('לידים'!$B$2:$B$501&lt;$A16+7))</f>
        <v/>
      </c>
      <c r="C16" s="10">
        <f>SUMPRODUCT(('לידים'!$C$2:$C$501&lt;&gt;"")*((('לידים'!$K$2:$K$501&lt;&gt;"")+('לידים'!$V$2:$V$501&gt;=3)*('לידים'!$V$2:$V$501&lt;=10))&gt;0)*('לידים'!$B$2:$B$501&gt;=$A16)*('לידים'!$B$2:$B$501&lt;$A16+7))</f>
        <v/>
      </c>
      <c r="D16" s="10">
        <f>SUMPRODUCT(('לידים'!$C$2:$C$501&lt;&gt;"")*((('לידים'!$V$2:$V$501&gt;=4)*('לידים'!$V$2:$V$501&lt;=10)+('לידים'!$M$2:$M$501&lt;&gt;""))&gt;0)*('לידים'!$B$2:$B$501&gt;=$A16)*('לידים'!$B$2:$B$501&lt;$A16+7))</f>
        <v/>
      </c>
      <c r="E16" s="10">
        <f>SUMPRODUCT(('לידים'!$C$2:$C$501&lt;&gt;"")*((('לידים'!$V$2:$V$501&gt;=5)*('לידים'!$V$2:$V$501&lt;=10)+('לידים'!$M$2:$M$501&lt;&gt;""))&gt;0)*('לידים'!$B$2:$B$501&gt;=$A16)*('לידים'!$B$2:$B$501&lt;$A16+7))</f>
        <v/>
      </c>
      <c r="F16" s="10">
        <f>SUMPRODUCT(('לידים'!$C$2:$C$501&lt;&gt;"")*((('לידים'!$V$2:$V$501&gt;=6)*('לידים'!$V$2:$V$501&lt;=10)+('לידים'!$O$2:$O$501="אושרה"))&gt;0)*('לידים'!$B$2:$B$501&gt;=$A16)*('לידים'!$B$2:$B$501&lt;$A16+7))</f>
        <v/>
      </c>
      <c r="G16" s="10">
        <f>SUMPRODUCT(('לידים'!$C$2:$C$501&lt;&gt;"")*((('לידים'!$V$2:$V$501&gt;=7)*('לידים'!$V$2:$V$501&lt;=10)+('לידים'!$P$2:$P$501="שולם"))&gt;0)*('לידים'!$B$2:$B$501&gt;=$A16)*('לידים'!$B$2:$B$501&lt;$A16+7))</f>
        <v/>
      </c>
      <c r="H16" s="10">
        <f>SUMPRODUCT(('לידים'!$C$2:$C$501&lt;&gt;"")*('לידים'!$V$2:$V$501&gt;=9)*('לידים'!$V$2:$V$501&lt;=10)*('לידים'!$B$2:$B$501&gt;=$A16)*('לידים'!$B$2:$B$501&lt;$A16+7))</f>
        <v/>
      </c>
    </row>
    <row r="17">
      <c r="A17" s="9">
        <f>TODAY()-WEEKDAY(TODAY())+1-7*11</f>
        <v/>
      </c>
      <c r="B17" s="10">
        <f>SUMPRODUCT(('לידים'!$C$2:$C$501&lt;&gt;"")*('לידים'!$B$2:$B$501&gt;=$A17)*('לידים'!$B$2:$B$501&lt;$A17+7))</f>
        <v/>
      </c>
      <c r="C17" s="10">
        <f>SUMPRODUCT(('לידים'!$C$2:$C$501&lt;&gt;"")*((('לידים'!$K$2:$K$501&lt;&gt;"")+('לידים'!$V$2:$V$501&gt;=3)*('לידים'!$V$2:$V$501&lt;=10))&gt;0)*('לידים'!$B$2:$B$501&gt;=$A17)*('לידים'!$B$2:$B$501&lt;$A17+7))</f>
        <v/>
      </c>
      <c r="D17" s="10">
        <f>SUMPRODUCT(('לידים'!$C$2:$C$501&lt;&gt;"")*((('לידים'!$V$2:$V$501&gt;=4)*('לידים'!$V$2:$V$501&lt;=10)+('לידים'!$M$2:$M$501&lt;&gt;""))&gt;0)*('לידים'!$B$2:$B$501&gt;=$A17)*('לידים'!$B$2:$B$501&lt;$A17+7))</f>
        <v/>
      </c>
      <c r="E17" s="10">
        <f>SUMPRODUCT(('לידים'!$C$2:$C$501&lt;&gt;"")*((('לידים'!$V$2:$V$501&gt;=5)*('לידים'!$V$2:$V$501&lt;=10)+('לידים'!$M$2:$M$501&lt;&gt;""))&gt;0)*('לידים'!$B$2:$B$501&gt;=$A17)*('לידים'!$B$2:$B$501&lt;$A17+7))</f>
        <v/>
      </c>
      <c r="F17" s="10">
        <f>SUMPRODUCT(('לידים'!$C$2:$C$501&lt;&gt;"")*((('לידים'!$V$2:$V$501&gt;=6)*('לידים'!$V$2:$V$501&lt;=10)+('לידים'!$O$2:$O$501="אושרה"))&gt;0)*('לידים'!$B$2:$B$501&gt;=$A17)*('לידים'!$B$2:$B$501&lt;$A17+7))</f>
        <v/>
      </c>
      <c r="G17" s="10">
        <f>SUMPRODUCT(('לידים'!$C$2:$C$501&lt;&gt;"")*((('לידים'!$V$2:$V$501&gt;=7)*('לידים'!$V$2:$V$501&lt;=10)+('לידים'!$P$2:$P$501="שולם"))&gt;0)*('לידים'!$B$2:$B$501&gt;=$A17)*('לידים'!$B$2:$B$501&lt;$A17+7))</f>
        <v/>
      </c>
      <c r="H17" s="10">
        <f>SUMPRODUCT(('לידים'!$C$2:$C$501&lt;&gt;"")*('לידים'!$V$2:$V$501&gt;=9)*('לידים'!$V$2:$V$501&lt;=10)*('לידים'!$B$2:$B$501&gt;=$A17)*('לידים'!$B$2:$B$501&lt;$A17+7))</f>
        <v/>
      </c>
    </row>
    <row r="18">
      <c r="A18" s="11" t="inlineStr">
        <is>
          <t>סה״כ מאז ההתחלה</t>
        </is>
      </c>
      <c r="B18" s="11">
        <f>SUMPRODUCT(('לידים'!$C$2:$C$501&lt;&gt;""))</f>
        <v/>
      </c>
      <c r="C18" s="11">
        <f>SUMPRODUCT(('לידים'!$C$2:$C$501&lt;&gt;"")*((('לידים'!$K$2:$K$501&lt;&gt;"")+('לידים'!$V$2:$V$501&gt;=3)*('לידים'!$V$2:$V$501&lt;=10))&gt;0))</f>
        <v/>
      </c>
      <c r="D18" s="11">
        <f>SUMPRODUCT(('לידים'!$C$2:$C$501&lt;&gt;"")*((('לידים'!$V$2:$V$501&gt;=4)*('לידים'!$V$2:$V$501&lt;=10)+('לידים'!$M$2:$M$501&lt;&gt;""))&gt;0))</f>
        <v/>
      </c>
      <c r="E18" s="11">
        <f>SUMPRODUCT(('לידים'!$C$2:$C$501&lt;&gt;"")*((('לידים'!$V$2:$V$501&gt;=5)*('לידים'!$V$2:$V$501&lt;=10)+('לידים'!$M$2:$M$501&lt;&gt;""))&gt;0))</f>
        <v/>
      </c>
      <c r="F18" s="11">
        <f>SUMPRODUCT(('לידים'!$C$2:$C$501&lt;&gt;"")*((('לידים'!$V$2:$V$501&gt;=6)*('לידים'!$V$2:$V$501&lt;=10)+('לידים'!$O$2:$O$501="אושרה"))&gt;0))</f>
        <v/>
      </c>
      <c r="G18" s="11">
        <f>SUMPRODUCT(('לידים'!$C$2:$C$501&lt;&gt;"")*((('לידים'!$V$2:$V$501&gt;=7)*('לידים'!$V$2:$V$501&lt;=10)+('לידים'!$P$2:$P$501="שולם"))&gt;0))</f>
        <v/>
      </c>
      <c r="H18" s="11">
        <f>SUMPRODUCT(('לידים'!$C$2:$C$501&lt;&gt;"")*('לידים'!$V$2:$V$501&gt;=9)*('לידים'!$V$2:$V$501&lt;=10))</f>
        <v/>
      </c>
    </row>
    <row r="19">
      <c r="A19" s="12" t="inlineStr">
        <is>
          <t>אחוז מהלידים</t>
        </is>
      </c>
      <c r="B19" s="13">
        <f>IF($B$18=0,"",B18/$B$18)</f>
        <v/>
      </c>
      <c r="C19" s="13">
        <f>IF($B$18=0,"",C18/$B$18)</f>
        <v/>
      </c>
      <c r="D19" s="13">
        <f>IF($B$18=0,"",D18/$B$18)</f>
        <v/>
      </c>
      <c r="E19" s="13">
        <f>IF($B$18=0,"",E18/$B$18)</f>
        <v/>
      </c>
      <c r="F19" s="13">
        <f>IF($B$18=0,"",F18/$B$18)</f>
        <v/>
      </c>
      <c r="G19" s="13">
        <f>IF($B$18=0,"",G18/$B$18)</f>
        <v/>
      </c>
      <c r="H19" s="13">
        <f>IF($B$18=0,"",H18/$B$18)</f>
        <v/>
      </c>
    </row>
    <row r="20"/>
    <row r="21"/>
    <row r="22">
      <c r="A22" s="14" t="inlineStr">
        <is>
          <t>לפי מקור (מאז ההתחלה)</t>
        </is>
      </c>
    </row>
    <row r="23">
      <c r="A23" s="8" t="inlineStr">
        <is>
          <t>מקור</t>
        </is>
      </c>
      <c r="B23" s="8" t="inlineStr">
        <is>
          <t>לידים</t>
        </is>
      </c>
      <c r="C23" s="8" t="inlineStr">
        <is>
          <t>שיחות נקבעו</t>
        </is>
      </c>
      <c r="D23" s="8" t="inlineStr">
        <is>
          <t>שיחות התקיימו</t>
        </is>
      </c>
      <c r="E23" s="8" t="inlineStr">
        <is>
          <t>הצעות נשלחו</t>
        </is>
      </c>
      <c r="F23" s="8" t="inlineStr">
        <is>
          <t>נסגרו (אושרה)</t>
        </is>
      </c>
      <c r="G23" s="8" t="inlineStr">
        <is>
          <t>שולמו</t>
        </is>
      </c>
      <c r="H23" s="8" t="inlineStr">
        <is>
          <t>באוויר</t>
        </is>
      </c>
    </row>
    <row r="24">
      <c r="A24" s="10">
        <f>'רשימות'!$B$2</f>
        <v/>
      </c>
      <c r="B24" s="10">
        <f>SUMPRODUCT(('לידים'!$C$2:$C$501&lt;&gt;"")*('לידים'!$E$2:$E$501=$A24))</f>
        <v/>
      </c>
      <c r="C24" s="10">
        <f>SUMPRODUCT(('לידים'!$C$2:$C$501&lt;&gt;"")*((('לידים'!$K$2:$K$501&lt;&gt;"")+('לידים'!$V$2:$V$501&gt;=3)*('לידים'!$V$2:$V$501&lt;=10))&gt;0)*('לידים'!$E$2:$E$501=$A24))</f>
        <v/>
      </c>
      <c r="D24" s="10">
        <f>SUMPRODUCT(('לידים'!$C$2:$C$501&lt;&gt;"")*((('לידים'!$V$2:$V$501&gt;=4)*('לידים'!$V$2:$V$501&lt;=10)+('לידים'!$M$2:$M$501&lt;&gt;""))&gt;0)*('לידים'!$E$2:$E$501=$A24))</f>
        <v/>
      </c>
      <c r="E24" s="10">
        <f>SUMPRODUCT(('לידים'!$C$2:$C$501&lt;&gt;"")*((('לידים'!$V$2:$V$501&gt;=5)*('לידים'!$V$2:$V$501&lt;=10)+('לידים'!$M$2:$M$501&lt;&gt;""))&gt;0)*('לידים'!$E$2:$E$501=$A24))</f>
        <v/>
      </c>
      <c r="F24" s="10">
        <f>SUMPRODUCT(('לידים'!$C$2:$C$501&lt;&gt;"")*((('לידים'!$V$2:$V$501&gt;=6)*('לידים'!$V$2:$V$501&lt;=10)+('לידים'!$O$2:$O$501="אושרה"))&gt;0)*('לידים'!$E$2:$E$501=$A24))</f>
        <v/>
      </c>
      <c r="G24" s="10">
        <f>SUMPRODUCT(('לידים'!$C$2:$C$501&lt;&gt;"")*((('לידים'!$V$2:$V$501&gt;=7)*('לידים'!$V$2:$V$501&lt;=10)+('לידים'!$P$2:$P$501="שולם"))&gt;0)*('לידים'!$E$2:$E$501=$A24))</f>
        <v/>
      </c>
      <c r="H24" s="10">
        <f>SUMPRODUCT(('לידים'!$C$2:$C$501&lt;&gt;"")*('לידים'!$V$2:$V$501&gt;=9)*('לידים'!$V$2:$V$501&lt;=10)*('לידים'!$E$2:$E$501=$A24))</f>
        <v/>
      </c>
    </row>
    <row r="25">
      <c r="A25" s="10">
        <f>'רשימות'!$B$3</f>
        <v/>
      </c>
      <c r="B25" s="10">
        <f>SUMPRODUCT(('לידים'!$C$2:$C$501&lt;&gt;"")*('לידים'!$E$2:$E$501=$A25))</f>
        <v/>
      </c>
      <c r="C25" s="10">
        <f>SUMPRODUCT(('לידים'!$C$2:$C$501&lt;&gt;"")*((('לידים'!$K$2:$K$501&lt;&gt;"")+('לידים'!$V$2:$V$501&gt;=3)*('לידים'!$V$2:$V$501&lt;=10))&gt;0)*('לידים'!$E$2:$E$501=$A25))</f>
        <v/>
      </c>
      <c r="D25" s="10">
        <f>SUMPRODUCT(('לידים'!$C$2:$C$501&lt;&gt;"")*((('לידים'!$V$2:$V$501&gt;=4)*('לידים'!$V$2:$V$501&lt;=10)+('לידים'!$M$2:$M$501&lt;&gt;""))&gt;0)*('לידים'!$E$2:$E$501=$A25))</f>
        <v/>
      </c>
      <c r="E25" s="10">
        <f>SUMPRODUCT(('לידים'!$C$2:$C$501&lt;&gt;"")*((('לידים'!$V$2:$V$501&gt;=5)*('לידים'!$V$2:$V$501&lt;=10)+('לידים'!$M$2:$M$501&lt;&gt;""))&gt;0)*('לידים'!$E$2:$E$501=$A25))</f>
        <v/>
      </c>
      <c r="F25" s="10">
        <f>SUMPRODUCT(('לידים'!$C$2:$C$501&lt;&gt;"")*((('לידים'!$V$2:$V$501&gt;=6)*('לידים'!$V$2:$V$501&lt;=10)+('לידים'!$O$2:$O$501="אושרה"))&gt;0)*('לידים'!$E$2:$E$501=$A25))</f>
        <v/>
      </c>
      <c r="G25" s="10">
        <f>SUMPRODUCT(('לידים'!$C$2:$C$501&lt;&gt;"")*((('לידים'!$V$2:$V$501&gt;=7)*('לידים'!$V$2:$V$501&lt;=10)+('לידים'!$P$2:$P$501="שולם"))&gt;0)*('לידים'!$E$2:$E$501=$A25))</f>
        <v/>
      </c>
      <c r="H25" s="10">
        <f>SUMPRODUCT(('לידים'!$C$2:$C$501&lt;&gt;"")*('לידים'!$V$2:$V$501&gt;=9)*('לידים'!$V$2:$V$501&lt;=10)*('לידים'!$E$2:$E$501=$A25))</f>
        <v/>
      </c>
    </row>
    <row r="26">
      <c r="A26" s="10">
        <f>'רשימות'!$B$4</f>
        <v/>
      </c>
      <c r="B26" s="10">
        <f>SUMPRODUCT(('לידים'!$C$2:$C$501&lt;&gt;"")*('לידים'!$E$2:$E$501=$A26))</f>
        <v/>
      </c>
      <c r="C26" s="10">
        <f>SUMPRODUCT(('לידים'!$C$2:$C$501&lt;&gt;"")*((('לידים'!$K$2:$K$501&lt;&gt;"")+('לידים'!$V$2:$V$501&gt;=3)*('לידים'!$V$2:$V$501&lt;=10))&gt;0)*('לידים'!$E$2:$E$501=$A26))</f>
        <v/>
      </c>
      <c r="D26" s="10">
        <f>SUMPRODUCT(('לידים'!$C$2:$C$501&lt;&gt;"")*((('לידים'!$V$2:$V$501&gt;=4)*('לידים'!$V$2:$V$501&lt;=10)+('לידים'!$M$2:$M$501&lt;&gt;""))&gt;0)*('לידים'!$E$2:$E$501=$A26))</f>
        <v/>
      </c>
      <c r="E26" s="10">
        <f>SUMPRODUCT(('לידים'!$C$2:$C$501&lt;&gt;"")*((('לידים'!$V$2:$V$501&gt;=5)*('לידים'!$V$2:$V$501&lt;=10)+('לידים'!$M$2:$M$501&lt;&gt;""))&gt;0)*('לידים'!$E$2:$E$501=$A26))</f>
        <v/>
      </c>
      <c r="F26" s="10">
        <f>SUMPRODUCT(('לידים'!$C$2:$C$501&lt;&gt;"")*((('לידים'!$V$2:$V$501&gt;=6)*('לידים'!$V$2:$V$501&lt;=10)+('לידים'!$O$2:$O$501="אושרה"))&gt;0)*('לידים'!$E$2:$E$501=$A26))</f>
        <v/>
      </c>
      <c r="G26" s="10">
        <f>SUMPRODUCT(('לידים'!$C$2:$C$501&lt;&gt;"")*((('לידים'!$V$2:$V$501&gt;=7)*('לידים'!$V$2:$V$501&lt;=10)+('לידים'!$P$2:$P$501="שולם"))&gt;0)*('לידים'!$E$2:$E$501=$A26))</f>
        <v/>
      </c>
      <c r="H26" s="10">
        <f>SUMPRODUCT(('לידים'!$C$2:$C$501&lt;&gt;"")*('לידים'!$V$2:$V$501&gt;=9)*('לידים'!$V$2:$V$501&lt;=10)*('לידים'!$E$2:$E$501=$A26))</f>
        <v/>
      </c>
    </row>
    <row r="27">
      <c r="A27" s="10">
        <f>'רשימות'!$B$5</f>
        <v/>
      </c>
      <c r="B27" s="10">
        <f>SUMPRODUCT(('לידים'!$C$2:$C$501&lt;&gt;"")*('לידים'!$E$2:$E$501=$A27))</f>
        <v/>
      </c>
      <c r="C27" s="10">
        <f>SUMPRODUCT(('לידים'!$C$2:$C$501&lt;&gt;"")*((('לידים'!$K$2:$K$501&lt;&gt;"")+('לידים'!$V$2:$V$501&gt;=3)*('לידים'!$V$2:$V$501&lt;=10))&gt;0)*('לידים'!$E$2:$E$501=$A27))</f>
        <v/>
      </c>
      <c r="D27" s="10">
        <f>SUMPRODUCT(('לידים'!$C$2:$C$501&lt;&gt;"")*((('לידים'!$V$2:$V$501&gt;=4)*('לידים'!$V$2:$V$501&lt;=10)+('לידים'!$M$2:$M$501&lt;&gt;""))&gt;0)*('לידים'!$E$2:$E$501=$A27))</f>
        <v/>
      </c>
      <c r="E27" s="10">
        <f>SUMPRODUCT(('לידים'!$C$2:$C$501&lt;&gt;"")*((('לידים'!$V$2:$V$501&gt;=5)*('לידים'!$V$2:$V$501&lt;=10)+('לידים'!$M$2:$M$501&lt;&gt;""))&gt;0)*('לידים'!$E$2:$E$501=$A27))</f>
        <v/>
      </c>
      <c r="F27" s="10">
        <f>SUMPRODUCT(('לידים'!$C$2:$C$501&lt;&gt;"")*((('לידים'!$V$2:$V$501&gt;=6)*('לידים'!$V$2:$V$501&lt;=10)+('לידים'!$O$2:$O$501="אושרה"))&gt;0)*('לידים'!$E$2:$E$501=$A27))</f>
        <v/>
      </c>
      <c r="G27" s="10">
        <f>SUMPRODUCT(('לידים'!$C$2:$C$501&lt;&gt;"")*((('לידים'!$V$2:$V$501&gt;=7)*('לידים'!$V$2:$V$501&lt;=10)+('לידים'!$P$2:$P$501="שולם"))&gt;0)*('לידים'!$E$2:$E$501=$A27))</f>
        <v/>
      </c>
      <c r="H27" s="10">
        <f>SUMPRODUCT(('לידים'!$C$2:$C$501&lt;&gt;"")*('לידים'!$V$2:$V$501&gt;=9)*('לידים'!$V$2:$V$501&lt;=10)*('לידים'!$E$2:$E$501=$A27))</f>
        <v/>
      </c>
    </row>
    <row r="28">
      <c r="A28" s="10">
        <f>'רשימות'!$B$6</f>
        <v/>
      </c>
      <c r="B28" s="10">
        <f>SUMPRODUCT(('לידים'!$C$2:$C$501&lt;&gt;"")*('לידים'!$E$2:$E$501=$A28))</f>
        <v/>
      </c>
      <c r="C28" s="10">
        <f>SUMPRODUCT(('לידים'!$C$2:$C$501&lt;&gt;"")*((('לידים'!$K$2:$K$501&lt;&gt;"")+('לידים'!$V$2:$V$501&gt;=3)*('לידים'!$V$2:$V$501&lt;=10))&gt;0)*('לידים'!$E$2:$E$501=$A28))</f>
        <v/>
      </c>
      <c r="D28" s="10">
        <f>SUMPRODUCT(('לידים'!$C$2:$C$501&lt;&gt;"")*((('לידים'!$V$2:$V$501&gt;=4)*('לידים'!$V$2:$V$501&lt;=10)+('לידים'!$M$2:$M$501&lt;&gt;""))&gt;0)*('לידים'!$E$2:$E$501=$A28))</f>
        <v/>
      </c>
      <c r="E28" s="10">
        <f>SUMPRODUCT(('לידים'!$C$2:$C$501&lt;&gt;"")*((('לידים'!$V$2:$V$501&gt;=5)*('לידים'!$V$2:$V$501&lt;=10)+('לידים'!$M$2:$M$501&lt;&gt;""))&gt;0)*('לידים'!$E$2:$E$501=$A28))</f>
        <v/>
      </c>
      <c r="F28" s="10">
        <f>SUMPRODUCT(('לידים'!$C$2:$C$501&lt;&gt;"")*((('לידים'!$V$2:$V$501&gt;=6)*('לידים'!$V$2:$V$501&lt;=10)+('לידים'!$O$2:$O$501="אושרה"))&gt;0)*('לידים'!$E$2:$E$501=$A28))</f>
        <v/>
      </c>
      <c r="G28" s="10">
        <f>SUMPRODUCT(('לידים'!$C$2:$C$501&lt;&gt;"")*((('לידים'!$V$2:$V$501&gt;=7)*('לידים'!$V$2:$V$501&lt;=10)+('לידים'!$P$2:$P$501="שולם"))&gt;0)*('לידים'!$E$2:$E$501=$A28))</f>
        <v/>
      </c>
      <c r="H28" s="10">
        <f>SUMPRODUCT(('לידים'!$C$2:$C$501&lt;&gt;"")*('לידים'!$V$2:$V$501&gt;=9)*('לידים'!$V$2:$V$501&lt;=10)*('לידים'!$E$2:$E$501=$A28))</f>
        <v/>
      </c>
    </row>
    <row r="29">
      <c r="A29" s="10">
        <f>'רשימות'!$B$7</f>
        <v/>
      </c>
      <c r="B29" s="10">
        <f>SUMPRODUCT(('לידים'!$C$2:$C$501&lt;&gt;"")*('לידים'!$E$2:$E$501=$A29))</f>
        <v/>
      </c>
      <c r="C29" s="10">
        <f>SUMPRODUCT(('לידים'!$C$2:$C$501&lt;&gt;"")*((('לידים'!$K$2:$K$501&lt;&gt;"")+('לידים'!$V$2:$V$501&gt;=3)*('לידים'!$V$2:$V$501&lt;=10))&gt;0)*('לידים'!$E$2:$E$501=$A29))</f>
        <v/>
      </c>
      <c r="D29" s="10">
        <f>SUMPRODUCT(('לידים'!$C$2:$C$501&lt;&gt;"")*((('לידים'!$V$2:$V$501&gt;=4)*('לידים'!$V$2:$V$501&lt;=10)+('לידים'!$M$2:$M$501&lt;&gt;""))&gt;0)*('לידים'!$E$2:$E$501=$A29))</f>
        <v/>
      </c>
      <c r="E29" s="10">
        <f>SUMPRODUCT(('לידים'!$C$2:$C$501&lt;&gt;"")*((('לידים'!$V$2:$V$501&gt;=5)*('לידים'!$V$2:$V$501&lt;=10)+('לידים'!$M$2:$M$501&lt;&gt;""))&gt;0)*('לידים'!$E$2:$E$501=$A29))</f>
        <v/>
      </c>
      <c r="F29" s="10">
        <f>SUMPRODUCT(('לידים'!$C$2:$C$501&lt;&gt;"")*((('לידים'!$V$2:$V$501&gt;=6)*('לידים'!$V$2:$V$501&lt;=10)+('לידים'!$O$2:$O$501="אושרה"))&gt;0)*('לידים'!$E$2:$E$501=$A29))</f>
        <v/>
      </c>
      <c r="G29" s="10">
        <f>SUMPRODUCT(('לידים'!$C$2:$C$501&lt;&gt;"")*((('לידים'!$V$2:$V$501&gt;=7)*('לידים'!$V$2:$V$501&lt;=10)+('לידים'!$P$2:$P$501="שולם"))&gt;0)*('לידים'!$E$2:$E$501=$A29))</f>
        <v/>
      </c>
      <c r="H29" s="10">
        <f>SUMPRODUCT(('לידים'!$C$2:$C$501&lt;&gt;"")*('לידים'!$V$2:$V$501&gt;=9)*('לידים'!$V$2:$V$501&lt;=10)*('לידים'!$E$2:$E$501=$A29))</f>
        <v/>
      </c>
    </row>
    <row r="30">
      <c r="A30" s="10">
        <f>'רשימות'!$B$8</f>
        <v/>
      </c>
      <c r="B30" s="10">
        <f>SUMPRODUCT(('לידים'!$C$2:$C$501&lt;&gt;"")*('לידים'!$E$2:$E$501=$A30))</f>
        <v/>
      </c>
      <c r="C30" s="10">
        <f>SUMPRODUCT(('לידים'!$C$2:$C$501&lt;&gt;"")*((('לידים'!$K$2:$K$501&lt;&gt;"")+('לידים'!$V$2:$V$501&gt;=3)*('לידים'!$V$2:$V$501&lt;=10))&gt;0)*('לידים'!$E$2:$E$501=$A30))</f>
        <v/>
      </c>
      <c r="D30" s="10">
        <f>SUMPRODUCT(('לידים'!$C$2:$C$501&lt;&gt;"")*((('לידים'!$V$2:$V$501&gt;=4)*('לידים'!$V$2:$V$501&lt;=10)+('לידים'!$M$2:$M$501&lt;&gt;""))&gt;0)*('לידים'!$E$2:$E$501=$A30))</f>
        <v/>
      </c>
      <c r="E30" s="10">
        <f>SUMPRODUCT(('לידים'!$C$2:$C$501&lt;&gt;"")*((('לידים'!$V$2:$V$501&gt;=5)*('לידים'!$V$2:$V$501&lt;=10)+('לידים'!$M$2:$M$501&lt;&gt;""))&gt;0)*('לידים'!$E$2:$E$501=$A30))</f>
        <v/>
      </c>
      <c r="F30" s="10">
        <f>SUMPRODUCT(('לידים'!$C$2:$C$501&lt;&gt;"")*((('לידים'!$V$2:$V$501&gt;=6)*('לידים'!$V$2:$V$501&lt;=10)+('לידים'!$O$2:$O$501="אושרה"))&gt;0)*('לידים'!$E$2:$E$501=$A30))</f>
        <v/>
      </c>
      <c r="G30" s="10">
        <f>SUMPRODUCT(('לידים'!$C$2:$C$501&lt;&gt;"")*((('לידים'!$V$2:$V$501&gt;=7)*('לידים'!$V$2:$V$501&lt;=10)+('לידים'!$P$2:$P$501="שולם"))&gt;0)*('לידים'!$E$2:$E$501=$A30))</f>
        <v/>
      </c>
      <c r="H30" s="10">
        <f>SUMPRODUCT(('לידים'!$C$2:$C$501&lt;&gt;"")*('לידים'!$V$2:$V$501&gt;=9)*('לידים'!$V$2:$V$501&lt;=10)*('לידים'!$E$2:$E$501=$A30))</f>
        <v/>
      </c>
    </row>
    <row r="31">
      <c r="A31" s="10">
        <f>'רשימות'!$B$9</f>
        <v/>
      </c>
      <c r="B31" s="10">
        <f>SUMPRODUCT(('לידים'!$C$2:$C$501&lt;&gt;"")*('לידים'!$E$2:$E$501=$A31))</f>
        <v/>
      </c>
      <c r="C31" s="10">
        <f>SUMPRODUCT(('לידים'!$C$2:$C$501&lt;&gt;"")*((('לידים'!$K$2:$K$501&lt;&gt;"")+('לידים'!$V$2:$V$501&gt;=3)*('לידים'!$V$2:$V$501&lt;=10))&gt;0)*('לידים'!$E$2:$E$501=$A31))</f>
        <v/>
      </c>
      <c r="D31" s="10">
        <f>SUMPRODUCT(('לידים'!$C$2:$C$501&lt;&gt;"")*((('לידים'!$V$2:$V$501&gt;=4)*('לידים'!$V$2:$V$501&lt;=10)+('לידים'!$M$2:$M$501&lt;&gt;""))&gt;0)*('לידים'!$E$2:$E$501=$A31))</f>
        <v/>
      </c>
      <c r="E31" s="10">
        <f>SUMPRODUCT(('לידים'!$C$2:$C$501&lt;&gt;"")*((('לידים'!$V$2:$V$501&gt;=5)*('לידים'!$V$2:$V$501&lt;=10)+('לידים'!$M$2:$M$501&lt;&gt;""))&gt;0)*('לידים'!$E$2:$E$501=$A31))</f>
        <v/>
      </c>
      <c r="F31" s="10">
        <f>SUMPRODUCT(('לידים'!$C$2:$C$501&lt;&gt;"")*((('לידים'!$V$2:$V$501&gt;=6)*('לידים'!$V$2:$V$501&lt;=10)+('לידים'!$O$2:$O$501="אושרה"))&gt;0)*('לידים'!$E$2:$E$501=$A31))</f>
        <v/>
      </c>
      <c r="G31" s="10">
        <f>SUMPRODUCT(('לידים'!$C$2:$C$501&lt;&gt;"")*((('לידים'!$V$2:$V$501&gt;=7)*('לידים'!$V$2:$V$501&lt;=10)+('לידים'!$P$2:$P$501="שולם"))&gt;0)*('לידים'!$E$2:$E$501=$A31))</f>
        <v/>
      </c>
      <c r="H31" s="10">
        <f>SUMPRODUCT(('לידים'!$C$2:$C$501&lt;&gt;"")*('לידים'!$V$2:$V$501&gt;=9)*('לידים'!$V$2:$V$501&lt;=10)*('לידים'!$E$2:$E$501=$A31))</f>
        <v/>
      </c>
    </row>
    <row r="32">
      <c r="A32" s="10">
        <f>'רשימות'!$B$10</f>
        <v/>
      </c>
      <c r="B32" s="10">
        <f>SUMPRODUCT(('לידים'!$C$2:$C$501&lt;&gt;"")*('לידים'!$E$2:$E$501=$A32))</f>
        <v/>
      </c>
      <c r="C32" s="10">
        <f>SUMPRODUCT(('לידים'!$C$2:$C$501&lt;&gt;"")*((('לידים'!$K$2:$K$501&lt;&gt;"")+('לידים'!$V$2:$V$501&gt;=3)*('לידים'!$V$2:$V$501&lt;=10))&gt;0)*('לידים'!$E$2:$E$501=$A32))</f>
        <v/>
      </c>
      <c r="D32" s="10">
        <f>SUMPRODUCT(('לידים'!$C$2:$C$501&lt;&gt;"")*((('לידים'!$V$2:$V$501&gt;=4)*('לידים'!$V$2:$V$501&lt;=10)+('לידים'!$M$2:$M$501&lt;&gt;""))&gt;0)*('לידים'!$E$2:$E$501=$A32))</f>
        <v/>
      </c>
      <c r="E32" s="10">
        <f>SUMPRODUCT(('לידים'!$C$2:$C$501&lt;&gt;"")*((('לידים'!$V$2:$V$501&gt;=5)*('לידים'!$V$2:$V$501&lt;=10)+('לידים'!$M$2:$M$501&lt;&gt;""))&gt;0)*('לידים'!$E$2:$E$501=$A32))</f>
        <v/>
      </c>
      <c r="F32" s="10">
        <f>SUMPRODUCT(('לידים'!$C$2:$C$501&lt;&gt;"")*((('לידים'!$V$2:$V$501&gt;=6)*('לידים'!$V$2:$V$501&lt;=10)+('לידים'!$O$2:$O$501="אושרה"))&gt;0)*('לידים'!$E$2:$E$501=$A32))</f>
        <v/>
      </c>
      <c r="G32" s="10">
        <f>SUMPRODUCT(('לידים'!$C$2:$C$501&lt;&gt;"")*((('לידים'!$V$2:$V$501&gt;=7)*('לידים'!$V$2:$V$501&lt;=10)+('לידים'!$P$2:$P$501="שולם"))&gt;0)*('לידים'!$E$2:$E$501=$A32))</f>
        <v/>
      </c>
      <c r="H32" s="10">
        <f>SUMPRODUCT(('לידים'!$C$2:$C$501&lt;&gt;"")*('לידים'!$V$2:$V$501&gt;=9)*('לידים'!$V$2:$V$501&lt;=10)*('לידים'!$E$2:$E$501=$A32))</f>
        <v/>
      </c>
    </row>
    <row r="33">
      <c r="A33" s="10">
        <f>'רשימות'!$B$11</f>
        <v/>
      </c>
      <c r="B33" s="10">
        <f>SUMPRODUCT(('לידים'!$C$2:$C$501&lt;&gt;"")*('לידים'!$E$2:$E$501=$A33))</f>
        <v/>
      </c>
      <c r="C33" s="10">
        <f>SUMPRODUCT(('לידים'!$C$2:$C$501&lt;&gt;"")*((('לידים'!$K$2:$K$501&lt;&gt;"")+('לידים'!$V$2:$V$501&gt;=3)*('לידים'!$V$2:$V$501&lt;=10))&gt;0)*('לידים'!$E$2:$E$501=$A33))</f>
        <v/>
      </c>
      <c r="D33" s="10">
        <f>SUMPRODUCT(('לידים'!$C$2:$C$501&lt;&gt;"")*((('לידים'!$V$2:$V$501&gt;=4)*('לידים'!$V$2:$V$501&lt;=10)+('לידים'!$M$2:$M$501&lt;&gt;""))&gt;0)*('לידים'!$E$2:$E$501=$A33))</f>
        <v/>
      </c>
      <c r="E33" s="10">
        <f>SUMPRODUCT(('לידים'!$C$2:$C$501&lt;&gt;"")*((('לידים'!$V$2:$V$501&gt;=5)*('לידים'!$V$2:$V$501&lt;=10)+('לידים'!$M$2:$M$501&lt;&gt;""))&gt;0)*('לידים'!$E$2:$E$501=$A33))</f>
        <v/>
      </c>
      <c r="F33" s="10">
        <f>SUMPRODUCT(('לידים'!$C$2:$C$501&lt;&gt;"")*((('לידים'!$V$2:$V$501&gt;=6)*('לידים'!$V$2:$V$501&lt;=10)+('לידים'!$O$2:$O$501="אושרה"))&gt;0)*('לידים'!$E$2:$E$501=$A33))</f>
        <v/>
      </c>
      <c r="G33" s="10">
        <f>SUMPRODUCT(('לידים'!$C$2:$C$501&lt;&gt;"")*((('לידים'!$V$2:$V$501&gt;=7)*('לידים'!$V$2:$V$501&lt;=10)+('לידים'!$P$2:$P$501="שולם"))&gt;0)*('לידים'!$E$2:$E$501=$A33))</f>
        <v/>
      </c>
      <c r="H33" s="10">
        <f>SUMPRODUCT(('לידים'!$C$2:$C$501&lt;&gt;"")*('לידים'!$V$2:$V$501&gt;=9)*('לידים'!$V$2:$V$501&lt;=10)*('לידים'!$E$2:$E$501=$A33))</f>
        <v/>
      </c>
    </row>
    <row r="34"/>
    <row r="35">
      <c r="A35" s="15" t="inlineStr">
        <is>
          <t>הערה: כל עוד הקישור לוואטסאפ באתר בלי טקסט מוכן (D2), רוב הלידים יהיו "לא ידוע".</t>
        </is>
      </c>
    </row>
    <row r="37">
      <c r="A37" s="7" t="inlineStr">
        <is>
          <t>השעות שלי</t>
        </is>
      </c>
    </row>
    <row r="38">
      <c r="A38" t="inlineStr">
        <is>
          <t>סה״כ שעות על לידים ולקוחות</t>
        </is>
      </c>
      <c r="B38" s="16">
        <f>SUM('לידים'!$R$2:$R$501)</f>
        <v/>
      </c>
    </row>
    <row r="39">
      <c r="A39" t="inlineStr">
        <is>
          <t>ממוצע שעות ללקוח שסגר</t>
        </is>
      </c>
      <c r="B39" s="16">
        <f>IFERROR(SUMPRODUCT(('לידים'!$V$2:$V$501&gt;=6)*('לידים'!$V$2:$V$501&lt;=10),'לידים'!$R$2:$R$501)/SUMPRODUCT(('לידים'!$V$2:$V$501&gt;=6)*('לידים'!$V$2:$V$501&lt;=10)),"")</f>
        <v/>
      </c>
    </row>
    <row r="40">
      <c r="A40" t="inlineStr">
        <is>
          <t>ממוצע שעות לליד שלא נסגר</t>
        </is>
      </c>
      <c r="B40" s="16">
        <f>IFERROR(SUMPRODUCT(('לידים'!$V$2:$V$501=11),'לידים'!$R$2:$R$501)/SUMPRODUCT(('לידים'!$V$2:$V$501=11)*1),"")</f>
        <v/>
      </c>
    </row>
    <row r="41">
      <c r="A41" s="17" t="inlineStr">
        <is>
          <t>ימים ממוצעים בכל שלב: יגיע בשלב 3 (אוטומציה ב-n8n שרושמת תאריך לכל מעבר שלב).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46E5"/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איך עובדים עם הטבלה · 5 שורות</t>
        </is>
      </c>
    </row>
    <row r="3" ht="36" customHeight="1">
      <c r="A3" s="18" t="inlineStr">
        <is>
          <t>1. כל פנייה בוואטסאפ = שורה חדשה בלשונית "לידים": תאריך, שם, טלפון, מקור, ההודעה בקצרה. מס׳ הליד נוצר לבד.</t>
        </is>
      </c>
    </row>
    <row r="4" ht="36" customHeight="1">
      <c r="A4" s="18" t="inlineStr">
        <is>
          <t>2. בכל פעם שמשהו זז, מעדכנים 3 תאים: שלב, הצעד הבא, ועד מתי. אדום = עבר התאריך, כתום = היום.</t>
        </is>
      </c>
    </row>
    <row r="5" ht="36" customHeight="1">
      <c r="A5" s="18" t="inlineStr">
        <is>
          <t>3. אחרי שיחת אפיון: תאריך שיחה, קישור לסיכום, ושלב "2b". אחרי שליחת הצעה: מס׳ הצעה וסטטוס.</t>
        </is>
      </c>
    </row>
    <row r="6" ht="36" customHeight="1">
      <c r="A6" s="18" t="inlineStr">
        <is>
          <t>4. ליד שלא ממשיך: שלב "X לא רלוונטי" וסיבה. משאירים את מס׳ ההצעה אם הייתה, כדי שהמשפך יספור נכון.</t>
        </is>
      </c>
    </row>
    <row r="7" ht="36" customHeight="1">
      <c r="A7" s="18" t="inlineStr">
        <is>
          <t>5. לשונית "משפך" מתעדכנת לבד. בלשונית "רשימות" אפשר להוסיף מקורות וסיבות. רק מה שצריך: שם, טלפון והצורך.</t>
        </is>
      </c>
    </row>
    <row r="10">
      <c r="A10" s="19" t="inlineStr">
        <is>
          <t>פרטיות: זה מידע אישי של לקוחות. לא משתפים את הטבלה, לא מעתיקים אותה ל-GitHub, ושומרים רק מה שהשלב צריך.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9AEE0"/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0" t="inlineStr">
        <is>
          <t>שלב</t>
        </is>
      </c>
      <c r="B1" s="20" t="inlineStr">
        <is>
          <t>מקור</t>
        </is>
      </c>
      <c r="C1" s="20" t="inlineStr">
        <is>
          <t>מסלול</t>
        </is>
      </c>
      <c r="D1" s="20" t="inlineStr">
        <is>
          <t>למה לא המשיך</t>
        </is>
      </c>
      <c r="E1" s="20" t="inlineStr">
        <is>
          <t>סטטוס הצעה</t>
        </is>
      </c>
      <c r="F1" s="20" t="inlineStr">
        <is>
          <t>תשלום</t>
        </is>
      </c>
      <c r="G1" s="20" t="inlineStr">
        <is>
          <t>סטטוס פרויקט</t>
        </is>
      </c>
      <c r="H1" s="20" t="inlineStr">
        <is>
          <t>הסכים שאחזור אליו</t>
        </is>
      </c>
    </row>
    <row r="2">
      <c r="A2" s="21" t="inlineStr">
        <is>
          <t>0 ליד חדש</t>
        </is>
      </c>
      <c r="B2" s="21" t="inlineStr">
        <is>
          <t>אתר/דף הבית</t>
        </is>
      </c>
      <c r="C2" s="21" t="inlineStr">
        <is>
          <t>פתרון</t>
        </is>
      </c>
      <c r="D2" s="21" t="inlineStr">
        <is>
          <t>לא מתאים לשירות</t>
        </is>
      </c>
      <c r="E2" s="21" t="inlineStr">
        <is>
          <t>טיוטה</t>
        </is>
      </c>
      <c r="F2" s="21" t="inlineStr">
        <is>
          <t>עוד לא</t>
        </is>
      </c>
      <c r="G2" s="21" t="inlineStr">
        <is>
          <t>לא התחיל</t>
        </is>
      </c>
      <c r="H2" s="21" t="inlineStr">
        <is>
          <t>כן</t>
        </is>
      </c>
    </row>
    <row r="3">
      <c r="A3" s="21" t="inlineStr">
        <is>
          <t>1 בסינון</t>
        </is>
      </c>
      <c r="B3" s="21" t="inlineStr">
        <is>
          <t>אתר/פתרונות</t>
        </is>
      </c>
      <c r="C3" s="21" t="inlineStr">
        <is>
          <t>סוכן</t>
        </is>
      </c>
      <c r="D3" s="21" t="inlineStr">
        <is>
          <t>תקציב</t>
        </is>
      </c>
      <c r="E3" s="21" t="inlineStr">
        <is>
          <t>נשלחה</t>
        </is>
      </c>
      <c r="F3" s="21" t="inlineStr">
        <is>
          <t>ממתין</t>
        </is>
      </c>
      <c r="G3" s="21" t="inlineStr">
        <is>
          <t>באפיון</t>
        </is>
      </c>
      <c r="H3" s="21" t="inlineStr">
        <is>
          <t>לא</t>
        </is>
      </c>
    </row>
    <row r="4">
      <c r="A4" s="21" t="inlineStr">
        <is>
          <t>2 שיחה נקבעה</t>
        </is>
      </c>
      <c r="B4" s="21" t="inlineStr">
        <is>
          <t>אתר/למידה</t>
        </is>
      </c>
      <c r="C4" s="21" t="inlineStr">
        <is>
          <t>למידה</t>
        </is>
      </c>
      <c r="D4" s="21" t="inlineStr">
        <is>
          <t>לא עכשיו / תזמון</t>
        </is>
      </c>
      <c r="E4" s="21" t="inlineStr">
        <is>
          <t>אושרה</t>
        </is>
      </c>
      <c r="F4" s="21" t="inlineStr">
        <is>
          <t>שולם חלקית</t>
        </is>
      </c>
      <c r="G4" s="21" t="inlineStr">
        <is>
          <t>ביישום</t>
        </is>
      </c>
    </row>
    <row r="5">
      <c r="A5" s="21" t="inlineStr">
        <is>
          <t>2b שיחה התקיימה</t>
        </is>
      </c>
      <c r="B5" s="21" t="inlineStr">
        <is>
          <t>אתר/עמוד סוכן</t>
        </is>
      </c>
      <c r="C5" s="21" t="inlineStr">
        <is>
          <t>עוד לא ברור</t>
        </is>
      </c>
      <c r="D5" s="21" t="inlineStr">
        <is>
          <t>לא ענה</t>
        </is>
      </c>
      <c r="E5" s="21" t="inlineStr">
        <is>
          <t>נדחתה</t>
        </is>
      </c>
      <c r="F5" s="21" t="inlineStr">
        <is>
          <t>שולם</t>
        </is>
      </c>
      <c r="G5" s="21" t="inlineStr">
        <is>
          <t>באוויר</t>
        </is>
      </c>
    </row>
    <row r="6">
      <c r="A6" s="21" t="inlineStr">
        <is>
          <t>3 הצעה נשלחה</t>
        </is>
      </c>
      <c r="B6" s="21" t="inlineStr">
        <is>
          <t>לינקדאין</t>
        </is>
      </c>
      <c r="D6" s="21" t="inlineStr">
        <is>
          <t>בחר ספק אחר</t>
        </is>
      </c>
      <c r="E6" s="21" t="inlineStr">
        <is>
          <t>פג תוקף</t>
        </is>
      </c>
      <c r="G6" s="21" t="inlineStr">
        <is>
          <t>בתמיכה</t>
        </is>
      </c>
    </row>
    <row r="7">
      <c r="A7" s="21" t="inlineStr">
        <is>
          <t>4 ממתין לתשלום</t>
        </is>
      </c>
      <c r="B7" s="21" t="inlineStr">
        <is>
          <t>פייסבוק</t>
        </is>
      </c>
      <c r="D7" s="21" t="inlineStr">
        <is>
          <t>עושה לבד</t>
        </is>
      </c>
      <c r="G7" s="21" t="inlineStr">
        <is>
          <t>הסתיים</t>
        </is>
      </c>
    </row>
    <row r="8">
      <c r="A8" s="21" t="inlineStr">
        <is>
          <t>5 באפיון מלא</t>
        </is>
      </c>
      <c r="B8" s="21" t="inlineStr">
        <is>
          <t>וואטסאפ ישיר</t>
        </is>
      </c>
      <c r="D8" s="21" t="inlineStr">
        <is>
          <t>אחר</t>
        </is>
      </c>
    </row>
    <row r="9">
      <c r="A9" s="21" t="inlineStr">
        <is>
          <t>6 ביישום</t>
        </is>
      </c>
      <c r="B9" s="21" t="inlineStr">
        <is>
          <t>המלצה מפה לאוזן</t>
        </is>
      </c>
    </row>
    <row r="10">
      <c r="A10" s="21" t="inlineStr">
        <is>
          <t>8 באוויר</t>
        </is>
      </c>
      <c r="B10" s="21" t="inlineStr">
        <is>
          <t>אחר</t>
        </is>
      </c>
    </row>
    <row r="11">
      <c r="A11" s="21" t="inlineStr">
        <is>
          <t>9 בתמיכה</t>
        </is>
      </c>
      <c r="B11" s="21" t="inlineStr">
        <is>
          <t>לא ידוע</t>
        </is>
      </c>
    </row>
    <row r="12">
      <c r="A12" s="21" t="inlineStr">
        <is>
          <t>X לא רלוונטי</t>
        </is>
      </c>
    </row>
    <row r="13">
      <c r="A13" s="21" t="inlineStr">
        <is>
          <t>Z בהמתנה</t>
        </is>
      </c>
    </row>
    <row r="32">
      <c r="A32" s="22" t="inlineStr">
        <is>
          <t>אפשר להוסיף ערכים בכל עמודה (עד שורה 30). את סדר השלבים בעמודה הראשונה לא משנים: המשפך נשען עליו.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2026-10-27T00:13:08Z</dcterms:created>
  <dcterms:modified xmlns:dcterms="http://purl.org/dc/terms/" xmlns:xsi="http://www.w3.org/2001/XMLSchema-instance" xsi:type="dcterms:W3CDTF">2026-10-27T00:13:08Z</dcterms:modified>
</cp:coreProperties>
</file>